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D943D0A5-A188-A14A-B5BD-62BE563A0ABD}" xr6:coauthVersionLast="47" xr6:coauthVersionMax="47" xr10:uidLastSave="{00000000-0000-0000-0000-000000000000}"/>
  <bookViews>
    <workbookView xWindow="0" yWindow="660" windowWidth="29400" windowHeight="17160" activeTab="1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7" i="1" l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56" i="1"/>
  <c r="AC123" i="1"/>
  <c r="AC124" i="1"/>
  <c r="AC125" i="1"/>
  <c r="AC126" i="1"/>
  <c r="AC127" i="1"/>
  <c r="AC128" i="1"/>
  <c r="AC129" i="1"/>
  <c r="AC130" i="1"/>
  <c r="AC122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04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<sst xmlns="http://schemas.openxmlformats.org/spreadsheetml/2006/main" count="1906" uniqueCount="525">
  <si>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</si>
  <si>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</si>
  <si>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</si>
  <si>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</si>
  <si>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</si>
  <si>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</si>
  <si>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</si>
  <si>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</si>
  <si>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</si>
  <si>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</si>
  <si>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</si>
  <si>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</si>
  <si>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</si>
  <si>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</si>
  <si>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</si>
  <si>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</si>
  <si>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</si>
  <si>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</si>
  <si>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</si>
  <si>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</si>
  <si>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</si>
  <si>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</si>
  <si>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</si>
  <si>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</si>
  <si>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</si>
  <si>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</si>
  <si>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</si>
  <si>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</si>
  <si>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</si>
  <si>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</si>
  <si>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</si>
  <si>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</si>
  <si>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</si>
  <si>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</si>
  <si>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</si>
  <si>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</si>
  <si>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</si>
  <si>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</si>
  <si>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</si>
  <si>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</si>
  <si>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</si>
  <si>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</si>
  <si>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</si>
  <si>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</si>
  <si>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</si>
  <si>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</si>
  <si>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</si>
  <si>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</si>
  <si>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</si>
  <si>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</si>
  <si>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</si>
  <si>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</si>
  <si>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</si>
  <si>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</si>
  <si>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</si>
  <si>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</si>
  <si>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</si>
  <si>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</si>
  <si>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</si>
  <si>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</si>
  <si>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</si>
  <si>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</si>
  <si>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</si>
  <si>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</si>
  <si>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</si>
  <si>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</si>
  <si>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</si>
  <si>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</si>
  <si>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</si>
  <si>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</si>
  <si>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</si>
  <si>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</si>
  <si>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</si>
  <si>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</si>
  <si>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</si>
  <si>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</si>
  <si>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</si>
  <si>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</si>
  <si>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</si>
  <si>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</si>
  <si>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</si>
  <si>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</si>
  <si>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</si>
  <si>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</si>
  <si>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</si>
  <si>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</si>
  <si>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</si>
  <si>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</si>
  <si>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</si>
  <si>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</si>
  <si>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</si>
  <si>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</si>
  <si>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</si>
  <si>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</si>
  <si>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</si>
  <si>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</si>
  <si>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</si>
  <si>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</si>
  <si>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</si>
  <si>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</si>
  <si>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</si>
  <si>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</si>
  <si>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</si>
  <si>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</si>
  <si>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</si>
  <si>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</si>
  <si>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</si>
  <si>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</si>
  <si>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</si>
  <si>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</si>
  <si>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</si>
  <si>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</si>
  <si>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</si>
  <si>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</si>
  <si>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</si>
  <si>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</si>
  <si>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</si>
  <si>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</si>
  <si>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</si>
  <si>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</si>
  <si>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</si>
  <si>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</si>
  <si>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</si>
  <si>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</si>
  <si>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</si>
  <si>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</si>
  <si>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</si>
  <si>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</si>
  <si>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</si>
  <si>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</si>
  <si>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</si>
  <si>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</si>
  <si>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</si>
  <si>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</si>
  <si>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</si>
  <si>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</si>
  <si>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</si>
  <si>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</si>
  <si>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</si>
  <si>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</si>
  <si>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</si>
  <si>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</si>
  <si>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</si>
  <si>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</si>
  <si>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</si>
  <si>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</si>
  <si>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</si>
  <si>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</si>
  <si>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</si>
  <si>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</si>
  <si>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</si>
  <si>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</si>
  <si>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</si>
  <si>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</si>
  <si>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</si>
  <si>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</si>
  <si>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</si>
  <si>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</si>
  <si>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</si>
  <si>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</si>
  <si>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</si>
  <si>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</si>
  <si>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</si>
  <si>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</si>
  <si>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</si>
  <si>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</si>
  <si>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</si>
  <si>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</si>
  <si>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</si>
  <si>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</si>
  <si>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</si>
  <si>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</si>
  <si>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</si>
  <si>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</si>
  <si>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</si>
  <si>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</si>
  <si>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</si>
  <si>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</si>
  <si>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</si>
  <si>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</si>
  <si>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</si>
  <si>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</si>
  <si>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</si>
  <si>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</si>
  <si>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</si>
  <si>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</si>
  <si>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</si>
  <si>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</si>
  <si>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</si>
  <si>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</si>
  <si>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</si>
  <si>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</si>
  <si>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</si>
  <si>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</si>
  <si>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</si>
  <si>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</si>
  <si>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</si>
  <si>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</si>
  <si>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</si>
  <si>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</si>
  <si>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</si>
  <si>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</si>
  <si>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</si>
  <si>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</si>
  <si>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</si>
  <si>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</si>
  <si>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</si>
  <si>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</si>
  <si>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</si>
  <si>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</si>
  <si>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</si>
  <si>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</si>
  <si>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</si>
  <si>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</si>
  <si>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</si>
  <si>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</si>
  <si>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</si>
  <si>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</si>
  <si>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</si>
  <si>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</si>
  <si>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</si>
  <si>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</si>
  <si>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</si>
  <si>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</si>
  <si>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</si>
  <si>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</si>
  <si>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</si>
  <si>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</si>
  <si>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</si>
  <si>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</si>
  <si>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</si>
  <si>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</si>
  <si>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</si>
  <si>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</si>
  <si>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</si>
  <si>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</si>
  <si>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</si>
  <si>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</si>
  <si>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</si>
  <si>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</si>
  <si>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</si>
  <si>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</si>
  <si>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</si>
  <si>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</si>
  <si>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</si>
  <si>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</si>
  <si>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</si>
  <si>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</si>
  <si>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</si>
  <si>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</si>
  <si>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</si>
  <si>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</si>
  <si>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</si>
  <si>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</si>
  <si>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</si>
  <si>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</si>
  <si>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</si>
  <si>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</si>
  <si>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</si>
  <si>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</si>
  <si>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</si>
  <si>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</si>
  <si>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</si>
  <si>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</si>
  <si>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</si>
  <si>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</si>
  <si>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</si>
  <si>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</si>
  <si>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</si>
  <si>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</si>
  <si>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</si>
  <si>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</si>
  <si>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</si>
  <si>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</si>
  <si>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</si>
  <si>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</si>
  <si>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</si>
  <si>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</si>
  <si>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</si>
  <si>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</si>
  <si>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</si>
  <si>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</si>
  <si>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</si>
  <si>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</si>
  <si>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</si>
  <si>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</si>
  <si>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</si>
  <si>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</si>
  <si>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</si>
  <si>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</si>
  <si>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</si>
  <si>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</si>
  <si>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</si>
  <si>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</si>
  <si>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</si>
  <si>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</si>
  <si>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</si>
  <si>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</si>
  <si>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</si>
  <si>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</si>
  <si>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</si>
  <si>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</si>
  <si>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</si>
  <si>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</si>
  <si>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</si>
  <si>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</si>
  <si>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</si>
  <si>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</si>
  <si>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</si>
  <si>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</si>
  <si>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</si>
  <si>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</si>
  <si>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</si>
  <si>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</si>
  <si>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</si>
  <si>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</si>
  <si>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</si>
  <si>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</si>
  <si>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</si>
  <si>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</si>
  <si>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</si>
  <si>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</si>
  <si>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</si>
  <si>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</si>
  <si>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</si>
  <si>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</si>
  <si>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</si>
  <si>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</si>
  <si>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</si>
  <si>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</si>
  <si>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</si>
  <si>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</si>
  <si>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</si>
  <si>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</si>
  <si>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</si>
  <si>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</si>
  <si>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</si>
  <si>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</si>
  <si>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</si>
  <si>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</si>
  <si>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</si>
  <si>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</si>
  <si>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</si>
  <si>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</si>
  <si>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</si>
  <si>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</si>
  <si>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</si>
  <si>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</si>
  <si>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</si>
  <si>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</si>
  <si>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</si>
  <si>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</si>
  <si>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</si>
  <si>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</si>
  <si>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</si>
  <si>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</si>
  <si>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</si>
  <si>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</si>
  <si>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</si>
  <si>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</si>
  <si>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</si>
  <si>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</si>
  <si>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</si>
  <si>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</si>
  <si>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</si>
  <si>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</si>
  <si>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</si>
  <si>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</si>
  <si>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</si>
  <si>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</si>
  <si>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</si>
  <si>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</si>
  <si>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</si>
  <si>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</si>
  <si>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</si>
  <si>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</si>
  <si>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</si>
  <si>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</si>
  <si>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</si>
  <si>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</si>
  <si>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</si>
  <si>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</si>
  <si>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</si>
  <si>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</si>
  <si>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</si>
  <si>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</si>
  <si>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</si>
  <si>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</si>
  <si>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</si>
  <si>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</si>
  <si>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</si>
  <si>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</si>
  <si>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</si>
  <si>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</si>
  <si>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</si>
  <si>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</si>
  <si>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</si>
  <si>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</si>
  <si>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</si>
  <si>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</si>
  <si>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</si>
  <si>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</si>
  <si>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</si>
  <si>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</si>
  <si>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</si>
  <si>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</si>
  <si>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</si>
  <si>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</si>
  <si>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</si>
  <si>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</si>
  <si>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</si>
  <si>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</si>
  <si>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</si>
  <si>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</si>
  <si>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</si>
  <si>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</si>
  <si>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</si>
  <si>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</si>
  <si>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</si>
  <si>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</si>
  <si>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</si>
  <si>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</si>
  <si>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</si>
  <si>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</si>
  <si>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</si>
  <si>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</si>
  <si>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</si>
  <si>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</si>
  <si>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</si>
  <si>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</si>
  <si>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</si>
  <si>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</si>
  <si>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</si>
  <si>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</si>
  <si>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</si>
  <si>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</si>
  <si>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</si>
  <si>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</si>
  <si>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</si>
  <si>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</si>
  <si>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</si>
  <si>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</si>
  <si>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</si>
  <si>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</si>
  <si>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</si>
  <si>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</si>
  <si>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</si>
  <si>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</si>
  <si>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</si>
  <si>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</si>
  <si>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</si>
  <si>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</si>
  <si>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</si>
  <si>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</si>
  <si>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</si>
  <si>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</si>
  <si>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</si>
  <si>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</si>
  <si>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</si>
  <si>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</si>
  <si>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</si>
  <si>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</si>
  <si>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</si>
  <si>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</si>
  <si>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</si>
  <si>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</si>
  <si>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</si>
  <si>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</si>
  <si>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</si>
  <si>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</si>
  <si>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</si>
  <si>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</si>
  <si>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</si>
  <si>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</si>
  <si>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</si>
  <si>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</si>
  <si>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</si>
  <si>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</si>
  <si>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</si>
  <si>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</si>
  <si>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</si>
  <si>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</si>
  <si>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</si>
  <si>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</si>
  <si>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</si>
  <si>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</si>
  <si>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</si>
  <si>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</si>
  <si>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</si>
  <si>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</si>
  <si>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</si>
  <si>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</si>
  <si>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</si>
  <si>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</si>
  <si>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</si>
  <si>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</si>
  <si>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</si>
  <si>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</si>
  <si>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</si>
  <si>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</si>
  <si>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</si>
  <si>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</si>
  <si>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</si>
  <si>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</si>
  <si>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</si>
  <si>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</si>
  <si>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</si>
  <si>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</si>
  <si>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</si>
  <si>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</si>
  <si>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</si>
  <si>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</si>
  <si>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</si>
  <si>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</si>
  <si>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</si>
  <si>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</si>
  <si>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</si>
  <si>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</si>
  <si>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</si>
  <si>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</si>
  <si>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</si>
  <si>
    <t>Cost [float, CHF/m3]</t>
  </si>
  <si>
    <t>T_construction [h/m2]</t>
  </si>
  <si>
    <t>T_construction</t>
  </si>
  <si>
    <t>Y1860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</si>
</sst>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3" fillId="0" borderId="0"/>
  </cellStyleXfs>
  <cellXfs count="212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  <xf numFmtId="11" fontId="0" fillId="0" borderId="15" xfId="0" applyNumberFormat="1" applyBorder="1"/>
  </cellXfs>
  <cellStyles count="2">
    <cellStyle name="Normal" xfId="0" builtinId="0"/>
    <cellStyle name="Standard 2" xfId="1" xr:uid="{FDCFE4BD-E849-456C-8E2E-B78D9BD993F6}"/>
  </cellStyles>
  <dxfs count="59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43" dataDxfId="42">
  <autoFilter ref="A1:AC132" xr:uid="{690E7B34-75E3-43BA-8CDD-44A4EFCCEFD5}"/>
  <tableColumns count="29">
    <tableColumn id="9" xr3:uid="{1DBBD25D-72F9-4A81-9CFA-500505E3628D}" name="ID" dataDxfId="41"/>
    <tableColumn id="14" xr3:uid="{6844A52F-C967-44C0-BF5C-160C47AB6E64}" name="PRO_ID" dataDxfId="40"/>
    <tableColumn id="12" xr3:uid="{4EDF1E73-4744-474F-8DFE-7F72FB05613C}" name="EPD_ID" dataDxfId="39"/>
    <tableColumn id="1" xr3:uid="{1CF2E22E-1020-4F35-B31F-6350A15A5DE8}" name="SOURCE" dataDxfId="38"/>
    <tableColumn id="27" xr3:uid="{07F74D5D-9130-4120-B02C-A11234427F46}" name="KBOB ID-Nr." dataDxfId="37"/>
    <tableColumn id="11" xr3:uid="{81FE7F31-5F54-40F9-B99E-827E048F7DB5}" name="EPD_DATE" dataDxfId="36"/>
    <tableColumn id="10" xr3:uid="{54D8BA04-0FEF-4C3B-9B14-59E8F982CD3F}" name="VALID_TO" dataDxfId="35"/>
    <tableColumn id="22" xr3:uid="{3D6FC370-B8A8-40C3-9FC8-791B178DDFDF}" name="COUNTRY" dataDxfId="34"/>
    <tableColumn id="4" xr3:uid="{25C7280F-4E3E-4E39-BDBB-DC06DF090C5B}" name="PRODUCT_NAME" dataDxfId="33"/>
    <tableColumn id="26" xr3:uid="{1053A7DD-B11F-4E75-92EC-BC0F866E90B4}" name="OEKOBAUDAT_ID" dataDxfId="32"/>
    <tableColumn id="25" xr3:uid="{295F99F8-E318-45C9-833E-F0B45A26471A}" name="MATERIAL_GROUP" dataDxfId="31"/>
    <tableColumn id="2" xr3:uid="{1326FCEF-D1EE-4F3A-BB8B-77CB4EC72B0C}" name="MATERIAL" dataDxfId="30"/>
    <tableColumn id="5" xr3:uid="{9B2A7F84-D968-4A00-B61F-23BB0661E7A3}" name="CEMENT" dataDxfId="29"/>
    <tableColumn id="6" xr3:uid="{2F6E5831-6238-4360-9CFD-ED23A193E761}" name="MECH_PROP" dataDxfId="28"/>
    <tableColumn id="13" xr3:uid="{50DAB01C-8AF5-4E0C-9904-54F70B81BC55}" name="DENSITY" dataDxfId="27"/>
    <tableColumn id="18" xr3:uid="{F799A4D4-9543-475F-989E-CFBA47249558}" name="EXPOSITIONSKLASSE" dataDxfId="26"/>
    <tableColumn id="17" xr3:uid="{ECCBC067-991C-4C60-942D-806BCD77B990}" name="GROESSTKORN" dataDxfId="25"/>
    <tableColumn id="16" xr3:uid="{05157B85-D5FB-4844-9B53-D8AB09BCE0D9}" name="CHLORIDGEHALT" dataDxfId="24"/>
    <tableColumn id="15" xr3:uid="{9F53CF50-7148-405A-9295-1F0C3C45645A}" name="KONSISTENZKLASSE" dataDxfId="23"/>
    <tableColumn id="7" xr3:uid="{E23232F6-E86E-4AD2-8257-F30C0D1F7368}" name="Total_GWP" dataDxfId="22"/>
    <tableColumn id="20" xr3:uid="{0A9001B4-3AB4-4C58-B125-0B2AA4DB2681}" name="A1toA3_GWP" dataDxfId="21">
      <calculatedColumnFormula>119+10.9+238</calculatedColumnFormula>
    </tableColumn>
    <tableColumn id="21" xr3:uid="{2799394A-C481-45CE-B194-AAABAB0AED38}" name="C1toC4_GWP" dataDxfId="20">
      <calculatedColumnFormula>51.1+26+2.64+12.6</calculatedColumnFormula>
    </tableColumn>
    <tableColumn id="19" xr3:uid="{70561D70-9D02-4E93-A395-229DA8696DDA}" name="ValidEPD" dataDxfId="19">
      <calculatedColumnFormula>IF(OR($D2="Ecoinvent",$D2="Betonsortenrechner",$D2="KBOB",$T2&lt;=0),0,1)</calculatedColumnFormula>
    </tableColumn>
    <tableColumn id="29" xr3:uid="{92D55BC7-F55B-406A-B127-69EC2F0A8B77}" name="noch gültig" dataDxfId="18">
      <calculatedColumnFormula>IF(Table2[[#This Row],[VALID_TO]]&gt;=TODAY(), 1, 0)</calculatedColumnFormula>
    </tableColumn>
    <tableColumn id="3" xr3:uid="{DB90AC0A-8933-4040-BADE-E6EE11AC8BD7}" name="Statistik" dataDxfId="17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6"/>
    <tableColumn id="24" xr3:uid="{5321A0E1-043C-4E95-A6DA-41830364B2BC}" name="Anmerkung" dataDxfId="15"/>
    <tableColumn id="23" xr3:uid="{61456234-34E8-4222-B2D6-9DDA8E83B081}" name="Spalte 1" dataDxfId="14"/>
    <tableColumn id="28" xr3:uid="{D1FC9AF8-A0AE-CE49-8F27-4BB569415BF3}" name="T_construction" dataDxfId="1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9" totalsRowShown="0" headerRowDxfId="58" dataDxfId="56" headerRowBorderDxfId="57" tableBorderDxfId="55" totalsRowBorderDxfId="54">
  <autoFilter ref="A1:J9" xr:uid="{188FAA96-3B75-4826-B66B-A81D5BCFC670}"/>
  <tableColumns count="10">
    <tableColumn id="1" xr3:uid="{AF3C694B-2C8A-40EE-B8BB-2EC9EB81A87A}" name="mat_ID" dataDxfId="53"/>
    <tableColumn id="2" xr3:uid="{B447FBC2-C455-4332-8F47-150B112A57E0}" name="name" dataDxfId="52"/>
    <tableColumn id="3" xr3:uid="{BAFC6B47-7268-46CC-A881-892C9A1F4334}" name="strength_comp" dataDxfId="51"/>
    <tableColumn id="4" xr3:uid="{6FC4C8EB-7581-4E67-81CE-C724161F0838}" name="strength_tens" dataDxfId="50"/>
    <tableColumn id="5" xr3:uid="{A875970E-61A9-43B5-9361-7616A74C3147}" name="strength_bend" dataDxfId="49"/>
    <tableColumn id="6" xr3:uid="{EF5B3A69-DD70-420A-88FF-4FE8772A2E14}" name="strength_shea" dataDxfId="48"/>
    <tableColumn id="7" xr3:uid="{ED461A80-736C-42BD-81BC-C5C0C80FF34C}" name="E_modulus" dataDxfId="47"/>
    <tableColumn id="8" xr3:uid="{68E47481-7028-4427-B126-2A046FC46737}" name="density_load" dataDxfId="46"/>
    <tableColumn id="9" xr3:uid="{7AB34570-2BD4-417F-B141-70612577C7D6}" name="burn_rate" dataDxfId="45"/>
    <tableColumn id="10" xr3:uid="{69298654-E280-9D4B-9717-7904FADC15B5}" name="phi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F6" totalsRowShown="0" headerRowDxfId="12" dataDxfId="10" headerRowBorderDxfId="11" tableBorderDxfId="9" totalsRowBorderDxfId="8">
  <autoFilter ref="A1:F6" xr:uid="{1CD264FD-E2C0-E94F-B387-736226CC982D}"/>
  <tableColumns count="6">
    <tableColumn id="1" xr3:uid="{6590463D-C242-4C4D-AA1F-6FA1F0D35E6F}" name="mat_ID" dataDxfId="7"/>
    <tableColumn id="2" xr3:uid="{603BAED4-55F2-D040-9D73-1611C1564A84}" name="name" dataDxfId="6"/>
    <tableColumn id="3" xr3:uid="{D6CC67C0-1ACA-D446-A6F3-00BCC3AC8DAC}" name="d" dataDxfId="5"/>
    <tableColumn id="4" xr3:uid="{3D62C7FF-3D7F-B245-A874-3A95DF0C49D2}" name="K_ser" dataDxfId="4"/>
    <tableColumn id="5" xr3:uid="{0C35052C-7630-EC48-BB52-4928EDE8D2AC}" name="Cost" dataDxfId="3"/>
    <tableColumn id="6" xr3:uid="{5101DCF1-1E94-3949-9F50-D0C3653EA4AB}" name="T_construc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opLeftCell="A82" zoomScale="75" zoomScaleNormal="100" workbookViewId="0">
      <selection activeCell="C110" sqref="C110:I110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5" t="s">
        <v>523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6">
        <v>206</v>
      </c>
      <c r="AA2" s="11"/>
      <c r="AB2" s="21"/>
      <c r="AC2" s="210">
        <v>0.55000000000000004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6">
        <v>206</v>
      </c>
      <c r="AA3" s="11"/>
      <c r="AB3" s="21"/>
      <c r="AC3" s="210">
        <v>0.55000000000000004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6">
        <v>206</v>
      </c>
      <c r="AA4" s="11"/>
      <c r="AB4" s="21"/>
      <c r="AC4" s="210">
        <v>0.55000000000000004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6">
        <v>206</v>
      </c>
      <c r="AA5" s="11"/>
      <c r="AB5" s="21"/>
      <c r="AC5" s="210">
        <v>0.55000000000000004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6">
        <v>206</v>
      </c>
      <c r="AA6" s="11"/>
      <c r="AB6" s="21"/>
      <c r="AC6" s="210">
        <v>0.55000000000000004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6">
        <v>206</v>
      </c>
      <c r="AA7" s="11"/>
      <c r="AB7" s="21"/>
      <c r="AC7" s="210">
        <v>0.55000000000000004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6">
        <v>206</v>
      </c>
      <c r="AA8" s="11"/>
      <c r="AB8" s="21"/>
      <c r="AC8" s="210">
        <v>0.55000000000000004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6">
        <v>206</v>
      </c>
      <c r="AA9" s="11"/>
      <c r="AB9" s="21"/>
      <c r="AC9" s="210">
        <v>0.55000000000000004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6">
        <v>206</v>
      </c>
      <c r="AA10" s="11"/>
      <c r="AB10" s="21"/>
      <c r="AC10" s="210">
        <v>0.55000000000000004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6">
        <v>206</v>
      </c>
      <c r="AA11" s="11"/>
      <c r="AB11" s="21"/>
      <c r="AC11" s="210">
        <v>0.55000000000000004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6">
        <v>206</v>
      </c>
      <c r="AA12" s="11"/>
      <c r="AB12" s="21"/>
      <c r="AC12" s="210">
        <v>0.55000000000000004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6">
        <v>206</v>
      </c>
      <c r="AA13" s="38"/>
      <c r="AB13" s="21"/>
      <c r="AC13" s="210">
        <v>0.55000000000000004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6">
        <v>206</v>
      </c>
      <c r="AA14" s="38"/>
      <c r="AB14" s="21"/>
      <c r="AC14" s="210">
        <v>0.55000000000000004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6">
        <v>206</v>
      </c>
      <c r="AA15" s="38"/>
      <c r="AB15" s="21"/>
      <c r="AC15" s="210">
        <v>0.55000000000000004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6">
        <v>206</v>
      </c>
      <c r="AA16" s="38"/>
      <c r="AB16" s="21"/>
      <c r="AC16" s="210">
        <v>0.55000000000000004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6">
        <v>206</v>
      </c>
      <c r="AA17" s="38"/>
      <c r="AB17" s="21"/>
      <c r="AC17" s="210">
        <v>0.55000000000000004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6">
        <v>206</v>
      </c>
      <c r="AA18" s="38"/>
      <c r="AB18" s="21"/>
      <c r="AC18" s="210">
        <v>0.55000000000000004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6">
        <v>206</v>
      </c>
      <c r="AA19" s="38"/>
      <c r="AB19" s="21"/>
      <c r="AC19" s="210">
        <v>0.55000000000000004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6">
        <v>206</v>
      </c>
      <c r="AA20" s="38"/>
      <c r="AB20" s="21"/>
      <c r="AC20" s="210">
        <v>0.55000000000000004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6">
        <v>206</v>
      </c>
      <c r="AA21" s="38"/>
      <c r="AB21" s="21"/>
      <c r="AC21" s="210">
        <v>0.55000000000000004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6">
        <v>206</v>
      </c>
      <c r="AA22" s="38"/>
      <c r="AB22" s="21"/>
      <c r="AC22" s="210">
        <v>0.55000000000000004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6">
        <v>206</v>
      </c>
      <c r="AA23" s="38"/>
      <c r="AB23" s="21"/>
      <c r="AC23" s="210">
        <v>0.55000000000000004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6">
        <v>206</v>
      </c>
      <c r="AA24" s="2"/>
      <c r="AB24" s="21"/>
      <c r="AC24" s="210">
        <v>0.55000000000000004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6">
        <v>206</v>
      </c>
      <c r="AA25" s="2"/>
      <c r="AB25" s="21"/>
      <c r="AC25" s="210">
        <v>0.55000000000000004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6">
        <v>206</v>
      </c>
      <c r="AA26" s="2"/>
      <c r="AB26" s="21"/>
      <c r="AC26" s="210">
        <v>0.55000000000000004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6">
        <v>206</v>
      </c>
      <c r="AA27" s="2"/>
      <c r="AB27" s="21"/>
      <c r="AC27" s="210">
        <v>0.55000000000000004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6">
        <v>206</v>
      </c>
      <c r="AA28" s="2"/>
      <c r="AB28" s="21"/>
      <c r="AC28" s="210">
        <v>0.55000000000000004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6">
        <v>206</v>
      </c>
      <c r="AA29" s="2"/>
      <c r="AB29" s="21"/>
      <c r="AC29" s="210">
        <v>0.55000000000000004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6">
        <v>206</v>
      </c>
      <c r="AA30" s="2"/>
      <c r="AB30" s="21"/>
      <c r="AC30" s="210">
        <v>0.55000000000000004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6">
        <v>206</v>
      </c>
      <c r="AA31" s="2"/>
      <c r="AB31" s="179"/>
      <c r="AC31" s="210">
        <v>0.55000000000000004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6">
        <v>206</v>
      </c>
      <c r="AA32" s="2"/>
      <c r="AB32" s="182"/>
      <c r="AC32" s="210">
        <v>0.55000000000000004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6">
        <v>206</v>
      </c>
      <c r="AA33" s="2"/>
      <c r="AB33" s="182"/>
      <c r="AC33" s="210">
        <v>0.55000000000000004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6">
        <v>206</v>
      </c>
      <c r="AA34" s="2"/>
      <c r="AB34" s="182"/>
      <c r="AC34" s="210">
        <v>0.55000000000000004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6">
        <v>206</v>
      </c>
      <c r="AA35" s="2"/>
      <c r="AB35" s="182"/>
      <c r="AC35" s="210">
        <v>0.55000000000000004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6">
        <v>206</v>
      </c>
      <c r="AA36" s="2"/>
      <c r="AB36" s="182"/>
      <c r="AC36" s="210">
        <v>0.55000000000000004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06">
        <v>206</v>
      </c>
      <c r="AA37" s="13"/>
      <c r="AB37" s="182"/>
      <c r="AC37" s="210">
        <v>0.55000000000000004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7">
        <f>2.01*Table2[[#This Row],[DENSITY]]</f>
        <v>15778.499999999998</v>
      </c>
      <c r="AA38" s="16"/>
      <c r="AB38" s="182"/>
      <c r="AC38" s="210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7">
        <f>2.01*Table2[[#This Row],[DENSITY]]</f>
        <v>15778.499999999998</v>
      </c>
      <c r="AA39" s="2"/>
      <c r="AB39" s="183"/>
      <c r="AC39" s="210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7">
        <f>2.01*Table2[[#This Row],[DENSITY]]</f>
        <v>15778.499999999998</v>
      </c>
      <c r="AA40" s="2"/>
      <c r="AB40" s="183"/>
      <c r="AC40" s="210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7">
        <f>2.01*Table2[[#This Row],[DENSITY]]</f>
        <v>15778.499999999998</v>
      </c>
      <c r="AA41" s="2"/>
      <c r="AB41" s="183"/>
      <c r="AC41" s="210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7">
        <f>2.01*Table2[[#This Row],[DENSITY]]</f>
        <v>15778.499999999998</v>
      </c>
      <c r="AA42" s="2"/>
      <c r="AB42" s="183"/>
      <c r="AC42" s="210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7">
        <f>2.01*Table2[[#This Row],[DENSITY]]</f>
        <v>15778.499999999998</v>
      </c>
      <c r="AA43" s="2"/>
      <c r="AB43" s="183"/>
      <c r="AC43" s="210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7">
        <f>2.01*Table2[[#This Row],[DENSITY]]</f>
        <v>15778.499999999998</v>
      </c>
      <c r="AA44" s="2"/>
      <c r="AB44" s="183"/>
      <c r="AC44" s="210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207">
        <f>2.01*Table2[[#This Row],[DENSITY]]</f>
        <v>15778.499999999998</v>
      </c>
      <c r="AA45" s="2"/>
      <c r="AB45" s="183"/>
      <c r="AC45" s="210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7">
        <f>2.01*Table2[[#This Row],[DENSITY]]</f>
        <v>15778.499999999998</v>
      </c>
      <c r="AA46" s="2"/>
      <c r="AB46" s="183"/>
      <c r="AC46" s="210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7">
        <f>2.01*Table2[[#This Row],[DENSITY]]</f>
        <v>15778.499999999998</v>
      </c>
      <c r="AA47" s="2"/>
      <c r="AB47" s="183"/>
      <c r="AC47" s="210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7">
        <f>2.01*Table2[[#This Row],[DENSITY]]</f>
        <v>15778.499999999998</v>
      </c>
      <c r="AA48" s="2"/>
      <c r="AB48" s="183"/>
      <c r="AC48" s="210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7">
        <f>2.01*Table2[[#This Row],[DENSITY]]</f>
        <v>15778.499999999998</v>
      </c>
      <c r="AA49" s="2"/>
      <c r="AB49" s="183"/>
      <c r="AC49" s="210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7">
        <f>2.01*Table2[[#This Row],[DENSITY]]</f>
        <v>15778.499999999998</v>
      </c>
      <c r="AA50" s="2"/>
      <c r="AB50" s="183"/>
      <c r="AC50" s="210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207">
        <f>2.01*Table2[[#This Row],[DENSITY]]</f>
        <v>15778.499999999998</v>
      </c>
      <c r="AA51" s="2"/>
      <c r="AB51" s="183"/>
      <c r="AC51" s="210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7">
        <f>2.01*Table2[[#This Row],[DENSITY]]</f>
        <v>15778.499999999998</v>
      </c>
      <c r="AA52" s="2"/>
      <c r="AB52" s="183"/>
      <c r="AC52" s="210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0</v>
      </c>
      <c r="X53" s="198">
        <f ca="1">IF(Table2[[#This Row],[VALID_TO]]&gt;=TODAY(), 1, 0)</f>
        <v>0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7">
        <f>2.01*Table2[[#This Row],[DENSITY]]</f>
        <v>15778.499999999998</v>
      </c>
      <c r="AA53" s="2"/>
      <c r="AB53" s="183"/>
      <c r="AC53" s="210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0</v>
      </c>
      <c r="X54" s="198">
        <f ca="1">IF(Table2[[#This Row],[VALID_TO]]&gt;=TODAY(), 1, 0)</f>
        <v>0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7">
        <f>2.01*Table2[[#This Row],[DENSITY]]</f>
        <v>15778.499999999998</v>
      </c>
      <c r="AA54" s="2"/>
      <c r="AB54" s="183"/>
      <c r="AC54" s="210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07">
        <f>2.01*Table2[[#This Row],[DENSITY]]</f>
        <v>15778.499999999998</v>
      </c>
      <c r="AA55" s="4"/>
      <c r="AB55" s="183"/>
      <c r="AC55" s="210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6">
        <f>IF(Table2[[#This Row],[MATERIAL]]="Solid_structural_timber",1700,2200)</f>
        <v>2200</v>
      </c>
      <c r="AA56" s="11"/>
      <c r="AB56" s="183"/>
      <c r="AC56" s="210">
        <v>1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6">
        <f>IF(Table2[[#This Row],[MATERIAL]]="Solid_structural_timber",1700,2200)</f>
        <v>2200</v>
      </c>
      <c r="AA57" s="11"/>
      <c r="AB57" s="183"/>
      <c r="AC57" s="210">
        <v>1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6">
        <f>IF(Table2[[#This Row],[MATERIAL]]="Solid_structural_timber",1700,2200)</f>
        <v>2200</v>
      </c>
      <c r="AA58" s="11"/>
      <c r="AB58" s="183"/>
      <c r="AC58" s="210">
        <v>1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6">
        <f>IF(Table2[[#This Row],[MATERIAL]]="Solid_structural_timber",1700,2200)</f>
        <v>2200</v>
      </c>
      <c r="AA59" s="11"/>
      <c r="AB59" s="183"/>
      <c r="AC59" s="210">
        <v>1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6">
        <f>IF(Table2[[#This Row],[MATERIAL]]="Solid_structural_timber",1700,2200)</f>
        <v>1700</v>
      </c>
      <c r="AA60" s="11"/>
      <c r="AB60" s="183"/>
      <c r="AC60" s="210">
        <v>1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6">
        <f>IF(Table2[[#This Row],[MATERIAL]]="Solid_structural_timber",1700,2200)</f>
        <v>1700</v>
      </c>
      <c r="AA61" s="11"/>
      <c r="AB61" s="183"/>
      <c r="AC61" s="210">
        <v>1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6">
        <f>IF(Table2[[#This Row],[MATERIAL]]="Solid_structural_timber",1700,2200)</f>
        <v>2200</v>
      </c>
      <c r="AA62" s="16"/>
      <c r="AB62" s="182"/>
      <c r="AC62" s="210">
        <v>1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6">
        <f>IF(Table2[[#This Row],[MATERIAL]]="Solid_structural_timber",1700,2200)</f>
        <v>2200</v>
      </c>
      <c r="AA63" s="16"/>
      <c r="AB63" s="182"/>
      <c r="AC63" s="210">
        <v>1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6">
        <f>IF(Table2[[#This Row],[MATERIAL]]="Solid_structural_timber",1700,2200)</f>
        <v>2200</v>
      </c>
      <c r="AA64" s="16"/>
      <c r="AB64" s="182"/>
      <c r="AC64" s="210">
        <v>1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6">
        <f>IF(Table2[[#This Row],[MATERIAL]]="Solid_structural_timber",1700,2200)</f>
        <v>2200</v>
      </c>
      <c r="AA65" s="16"/>
      <c r="AB65" s="182"/>
      <c r="AC65" s="210">
        <v>1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6">
        <f>IF(Table2[[#This Row],[MATERIAL]]="Solid_structural_timber",1700,2200)</f>
        <v>1700</v>
      </c>
      <c r="AA66" s="16"/>
      <c r="AB66" s="182"/>
      <c r="AC66" s="210">
        <v>1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6">
        <f>IF(Table2[[#This Row],[MATERIAL]]="Solid_structural_timber",1700,2200)</f>
        <v>2200</v>
      </c>
      <c r="AA67" s="2" t="s">
        <v>428</v>
      </c>
      <c r="AB67" s="21"/>
      <c r="AC67" s="210">
        <v>1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6">
        <f>IF(Table2[[#This Row],[MATERIAL]]="Solid_structural_timber",1700,2200)</f>
        <v>2200</v>
      </c>
      <c r="AA68" s="2" t="s">
        <v>429</v>
      </c>
      <c r="AB68" s="21"/>
      <c r="AC68" s="210">
        <v>1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6">
        <f>IF(Table2[[#This Row],[MATERIAL]]="Solid_structural_timber",1700,2200)</f>
        <v>2200</v>
      </c>
      <c r="AA69" s="2"/>
      <c r="AB69" s="21"/>
      <c r="AC69" s="210">
        <v>1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6">
        <f>IF(Table2[[#This Row],[MATERIAL]]="Solid_structural_timber",1700,2200)</f>
        <v>2200</v>
      </c>
      <c r="AA70" s="2" t="s">
        <v>431</v>
      </c>
      <c r="AB70" s="21"/>
      <c r="AC70" s="210">
        <v>1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6">
        <f>IF(Table2[[#This Row],[MATERIAL]]="Solid_structural_timber",1700,2200)</f>
        <v>2200</v>
      </c>
      <c r="AA71" s="2" t="s">
        <v>430</v>
      </c>
      <c r="AB71" s="21"/>
      <c r="AC71" s="210">
        <v>1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6">
        <f>IF(Table2[[#This Row],[MATERIAL]]="Solid_structural_timber",1700,2200)</f>
        <v>2200</v>
      </c>
      <c r="AA72" s="2" t="s">
        <v>431</v>
      </c>
      <c r="AB72" s="21"/>
      <c r="AC72" s="210">
        <v>1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6">
        <f>IF(Table2[[#This Row],[MATERIAL]]="Solid_structural_timber",1700,2200)</f>
        <v>2200</v>
      </c>
      <c r="AA73" s="2"/>
      <c r="AB73" s="21"/>
      <c r="AC73" s="210">
        <v>1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6">
        <f>IF(Table2[[#This Row],[MATERIAL]]="Solid_structural_timber",1700,2200)</f>
        <v>1700</v>
      </c>
      <c r="AA74" s="63" t="s">
        <v>416</v>
      </c>
      <c r="AB74" s="21" t="s">
        <v>419</v>
      </c>
      <c r="AC74" s="210">
        <v>1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6">
        <f>IF(Table2[[#This Row],[MATERIAL]]="Solid_structural_timber",1700,2200)</f>
        <v>2200</v>
      </c>
      <c r="AA75" s="2" t="s">
        <v>433</v>
      </c>
      <c r="AB75" s="21"/>
      <c r="AC75" s="210">
        <v>1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6">
        <f>IF(Table2[[#This Row],[MATERIAL]]="Solid_structural_timber",1700,2200)</f>
        <v>2200</v>
      </c>
      <c r="AA76" s="2" t="s">
        <v>433</v>
      </c>
      <c r="AB76" s="21"/>
      <c r="AC76" s="210">
        <v>1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6">
        <f>IF(Table2[[#This Row],[MATERIAL]]="Solid_structural_timber",1700,2200)</f>
        <v>2200</v>
      </c>
      <c r="AA77" s="2"/>
      <c r="AB77" s="21"/>
      <c r="AC77" s="210">
        <v>1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6">
        <f>IF(Table2[[#This Row],[MATERIAL]]="Solid_structural_timber",1700,2200)</f>
        <v>2200</v>
      </c>
      <c r="AA78" s="2"/>
      <c r="AB78" s="21"/>
      <c r="AC78" s="210">
        <v>1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6">
        <f>IF(Table2[[#This Row],[MATERIAL]]="Solid_structural_timber",1700,2200)</f>
        <v>2200</v>
      </c>
      <c r="AA79" s="2" t="s">
        <v>438</v>
      </c>
      <c r="AB79" s="21"/>
      <c r="AC79" s="210">
        <v>1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6">
        <f>IF(Table2[[#This Row],[MATERIAL]]="Solid_structural_timber",1700,2200)</f>
        <v>2200</v>
      </c>
      <c r="AA80" s="2" t="s">
        <v>439</v>
      </c>
      <c r="AB80" s="21"/>
      <c r="AC80" s="210">
        <v>1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6">
        <f>IF(Table2[[#This Row],[MATERIAL]]="Solid_structural_timber",1700,2200)</f>
        <v>2200</v>
      </c>
      <c r="AA81" s="2" t="s">
        <v>440</v>
      </c>
      <c r="AB81" s="21" t="s">
        <v>423</v>
      </c>
      <c r="AC81" s="210">
        <v>1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6">
        <f>IF(Table2[[#This Row],[MATERIAL]]="Solid_structural_timber",1700,2200)</f>
        <v>2200</v>
      </c>
      <c r="AA82" s="2"/>
      <c r="AB82" s="21"/>
      <c r="AC82" s="210">
        <v>1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6">
        <f>IF(Table2[[#This Row],[MATERIAL]]="Solid_structural_timber",1700,2200)</f>
        <v>2200</v>
      </c>
      <c r="AA83" s="2"/>
      <c r="AB83" s="21"/>
      <c r="AC83" s="210">
        <v>1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6">
        <f>IF(Table2[[#This Row],[MATERIAL]]="Solid_structural_timber",1700,2200)</f>
        <v>2200</v>
      </c>
      <c r="AA84" s="2"/>
      <c r="AB84" s="21"/>
      <c r="AC84" s="210">
        <v>1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6">
        <f>IF(Table2[[#This Row],[MATERIAL]]="Solid_structural_timber",1700,2200)</f>
        <v>2200</v>
      </c>
      <c r="AA85" s="2"/>
      <c r="AB85" s="21"/>
      <c r="AC85" s="210">
        <v>1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6">
        <f>IF(Table2[[#This Row],[MATERIAL]]="Solid_structural_timber",1700,2200)</f>
        <v>2200</v>
      </c>
      <c r="AA86" s="2"/>
      <c r="AB86" s="21"/>
      <c r="AC86" s="210">
        <v>1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6">
        <f>IF(Table2[[#This Row],[MATERIAL]]="Solid_structural_timber",1700,2200)</f>
        <v>2200</v>
      </c>
      <c r="AA87" s="2"/>
      <c r="AB87" s="21"/>
      <c r="AC87" s="210">
        <v>1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6">
        <f>IF(Table2[[#This Row],[MATERIAL]]="Solid_structural_timber",1700,2200)</f>
        <v>2200</v>
      </c>
      <c r="AA88" s="2"/>
      <c r="AB88" s="21"/>
      <c r="AC88" s="210">
        <v>1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6">
        <f>IF(Table2[[#This Row],[MATERIAL]]="Solid_structural_timber",1700,2200)</f>
        <v>2200</v>
      </c>
      <c r="AA89" s="2" t="s">
        <v>434</v>
      </c>
      <c r="AB89" s="21"/>
      <c r="AC89" s="210">
        <v>1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6">
        <f>IF(Table2[[#This Row],[MATERIAL]]="Solid_structural_timber",1700,2200)</f>
        <v>2200</v>
      </c>
      <c r="AA90" s="2" t="s">
        <v>432</v>
      </c>
      <c r="AB90" s="21"/>
      <c r="AC90" s="210">
        <v>1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6">
        <f>IF(Table2[[#This Row],[MATERIAL]]="Solid_structural_timber",1700,2200)</f>
        <v>2200</v>
      </c>
      <c r="AA91" s="2" t="s">
        <v>435</v>
      </c>
      <c r="AB91" s="21"/>
      <c r="AC91" s="210">
        <v>1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6">
        <f>IF(Table2[[#This Row],[MATERIAL]]="Solid_structural_timber",1700,2200)</f>
        <v>2200</v>
      </c>
      <c r="AA92" s="2" t="s">
        <v>437</v>
      </c>
      <c r="AB92" s="21" t="s">
        <v>436</v>
      </c>
      <c r="AC92" s="210">
        <v>1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6">
        <f>IF(Table2[[#This Row],[MATERIAL]]="Solid_structural_timber",1700,2200)</f>
        <v>2200</v>
      </c>
      <c r="AA93" s="2" t="s">
        <v>434</v>
      </c>
      <c r="AB93" s="21"/>
      <c r="AC93" s="210">
        <v>1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6">
        <f>IF(Table2[[#This Row],[MATERIAL]]="Solid_structural_timber",1700,2200)</f>
        <v>2200</v>
      </c>
      <c r="AA94" s="2"/>
      <c r="AB94" s="21"/>
      <c r="AC94" s="210">
        <v>1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6">
        <f>IF(Table2[[#This Row],[MATERIAL]]="Solid_structural_timber",1700,2200)</f>
        <v>2200</v>
      </c>
      <c r="AA95" s="2"/>
      <c r="AB95" s="21"/>
      <c r="AC95" s="210">
        <v>1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6">
        <f>IF(Table2[[#This Row],[MATERIAL]]="Solid_structural_timber",1700,2200)</f>
        <v>2200</v>
      </c>
      <c r="AA96" s="2" t="s">
        <v>438</v>
      </c>
      <c r="AB96" s="21"/>
      <c r="AC96" s="210">
        <v>1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6">
        <f>IF(Table2[[#This Row],[MATERIAL]]="Solid_structural_timber",1700,2200)</f>
        <v>1700</v>
      </c>
      <c r="AA97" s="2" t="s">
        <v>418</v>
      </c>
      <c r="AB97" s="21"/>
      <c r="AC97" s="210">
        <v>1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6">
        <f>IF(Table2[[#This Row],[MATERIAL]]="Solid_structural_timber",1700,2200)</f>
        <v>1700</v>
      </c>
      <c r="AA98" s="2" t="s">
        <v>417</v>
      </c>
      <c r="AB98" s="21"/>
      <c r="AC98" s="210">
        <v>1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0</v>
      </c>
      <c r="Z99" s="206">
        <f>IF(Table2[[#This Row],[MATERIAL]]="Solid_structural_timber",1700,2200)</f>
        <v>1700</v>
      </c>
      <c r="AA99" s="2" t="s">
        <v>420</v>
      </c>
      <c r="AB99" s="21"/>
      <c r="AC99" s="210">
        <v>1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0</v>
      </c>
      <c r="X100" s="198">
        <f ca="1">IF(Table2[[#This Row],[VALID_TO]]&gt;=TODAY(), 1, 0)</f>
        <v>0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0</v>
      </c>
      <c r="Z100" s="206">
        <f>IF(Table2[[#This Row],[MATERIAL]]="Solid_structural_timber",1700,2200)</f>
        <v>1700</v>
      </c>
      <c r="AA100" s="2" t="s">
        <v>421</v>
      </c>
      <c r="AB100" s="21"/>
      <c r="AC100" s="210">
        <v>1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6">
        <f>IF(Table2[[#This Row],[MATERIAL]]="Solid_structural_timber",1700,2200)</f>
        <v>1700</v>
      </c>
      <c r="AA101" s="2" t="s">
        <v>422</v>
      </c>
      <c r="AB101" s="21" t="s">
        <v>424</v>
      </c>
      <c r="AC101" s="210">
        <v>1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6">
        <f>IF(Table2[[#This Row],[MATERIAL]]="Solid_structural_timber",1700,2200)</f>
        <v>1700</v>
      </c>
      <c r="AA102" s="2" t="s">
        <v>426</v>
      </c>
      <c r="AB102" s="21" t="s">
        <v>425</v>
      </c>
      <c r="AC102" s="210">
        <v>1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0</v>
      </c>
      <c r="X103" s="198">
        <f ca="1">IF(Table2[[#This Row],[VALID_TO]]&gt;=TODAY(), 1, 0)</f>
        <v>0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06">
        <f>IF(Table2[[#This Row],[MATERIAL]]="Solid_structural_timber",1700,2200)</f>
        <v>2200</v>
      </c>
      <c r="AA103" s="4" t="s">
        <v>467</v>
      </c>
      <c r="AB103" s="37"/>
      <c r="AC103" s="210">
        <v>1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8">
        <f>17*Table2[[#This Row],[DENSITY]]</f>
        <v>133450</v>
      </c>
      <c r="AA104" s="176" t="s">
        <v>493</v>
      </c>
      <c r="AB104" s="179"/>
      <c r="AC104" s="210"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8">
        <f>17*Table2[[#This Row],[DENSITY]]</f>
        <v>133450</v>
      </c>
      <c r="AA105" s="177" t="s">
        <v>493</v>
      </c>
      <c r="AB105" s="21"/>
      <c r="AC105" s="210">
        <f t="shared" ref="AC105:AC120" si="1">1.2</f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8">
        <f>17*Table2[[#This Row],[DENSITY]]</f>
        <v>133450</v>
      </c>
      <c r="AA106" s="177" t="s">
        <v>493</v>
      </c>
      <c r="AB106" s="21"/>
      <c r="AC106" s="210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8">
        <f>17*Table2[[#This Row],[DENSITY]]</f>
        <v>133450</v>
      </c>
      <c r="AA107" s="177" t="s">
        <v>493</v>
      </c>
      <c r="AB107" s="21"/>
      <c r="AC107" s="210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8">
        <f>17*Table2[[#This Row],[DENSITY]]</f>
        <v>133450</v>
      </c>
      <c r="AA108" s="177" t="s">
        <v>493</v>
      </c>
      <c r="AB108" s="21"/>
      <c r="AC108" s="210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8">
        <f>17*Table2[[#This Row],[DENSITY]]</f>
        <v>133450</v>
      </c>
      <c r="AA109" s="177" t="s">
        <v>493</v>
      </c>
      <c r="AB109" s="21"/>
      <c r="AC109" s="210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8">
        <f>17*Table2[[#This Row],[DENSITY]]</f>
        <v>133450</v>
      </c>
      <c r="AA110" s="177" t="s">
        <v>493</v>
      </c>
      <c r="AB110" s="21"/>
      <c r="AC110" s="210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8">
        <f>17*Table2[[#This Row],[DENSITY]]</f>
        <v>133450</v>
      </c>
      <c r="AA111" s="177" t="s">
        <v>493</v>
      </c>
      <c r="AB111" s="21"/>
      <c r="AC111" s="210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8">
        <f>17*Table2[[#This Row],[DENSITY]]</f>
        <v>133450</v>
      </c>
      <c r="AA112" s="177" t="s">
        <v>493</v>
      </c>
      <c r="AB112" s="21"/>
      <c r="AC112" s="210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8">
        <f>17*Table2[[#This Row],[DENSITY]]</f>
        <v>133450</v>
      </c>
      <c r="AA113" s="177" t="s">
        <v>493</v>
      </c>
      <c r="AB113" s="21"/>
      <c r="AC113" s="210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8">
        <f>17*Table2[[#This Row],[DENSITY]]</f>
        <v>133450</v>
      </c>
      <c r="AA114" s="177" t="s">
        <v>493</v>
      </c>
      <c r="AB114" s="21"/>
      <c r="AC114" s="210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8">
        <f>17*Table2[[#This Row],[DENSITY]]</f>
        <v>133450</v>
      </c>
      <c r="AA115" s="2" t="s">
        <v>493</v>
      </c>
      <c r="AB115" s="21"/>
      <c r="AC115" s="210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8">
        <f>17*Table2[[#This Row],[DENSITY]]</f>
        <v>133450</v>
      </c>
      <c r="AA116" s="2" t="s">
        <v>493</v>
      </c>
      <c r="AB116" s="21"/>
      <c r="AC116" s="210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8">
        <f>17*Table2[[#This Row],[DENSITY]]</f>
        <v>133450</v>
      </c>
      <c r="AA117" s="2" t="s">
        <v>494</v>
      </c>
      <c r="AB117" s="21"/>
      <c r="AC117" s="210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58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8">
        <f>17*Table2[[#This Row],[DENSITY]]</f>
        <v>133450</v>
      </c>
      <c r="AA118" s="201" t="s">
        <v>511</v>
      </c>
      <c r="AB118" s="21"/>
      <c r="AC118" s="210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8">
        <f>17*Table2[[#This Row],[DENSITY]]</f>
        <v>133450</v>
      </c>
      <c r="AA119" s="2" t="s">
        <v>493</v>
      </c>
      <c r="AB119" s="21"/>
      <c r="AC119" s="210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8">
        <f>17*Table2[[#This Row],[DENSITY]]</f>
        <v>133450</v>
      </c>
      <c r="AA120" s="2" t="s">
        <v>493</v>
      </c>
      <c r="AB120" s="21"/>
      <c r="AC120" s="210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08">
        <f>17*Table2[[#This Row],[DENSITY]]</f>
        <v>133450</v>
      </c>
      <c r="AA121" s="4" t="s">
        <v>493</v>
      </c>
      <c r="AB121" s="37"/>
      <c r="AC121" s="210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 t="s">
        <v>524</v>
      </c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09">
        <f>10*7850</f>
        <v>78500</v>
      </c>
      <c r="AA122" s="2" t="s">
        <v>171</v>
      </c>
      <c r="AB122" s="21"/>
      <c r="AC122" s="210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 t="s">
        <v>524</v>
      </c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09">
        <f t="shared" ref="Z123:Z130" si="3">10*7850</f>
        <v>78500</v>
      </c>
      <c r="AA123" s="2"/>
      <c r="AB123" s="21"/>
      <c r="AC123" s="210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 t="s">
        <v>524</v>
      </c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09">
        <f t="shared" si="3"/>
        <v>78500</v>
      </c>
      <c r="AA124" s="2" t="s">
        <v>170</v>
      </c>
      <c r="AB124" s="21"/>
      <c r="AC124" s="210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 t="s">
        <v>524</v>
      </c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09">
        <f t="shared" si="3"/>
        <v>78500</v>
      </c>
      <c r="AA125" s="2" t="s">
        <v>170</v>
      </c>
      <c r="AB125" s="21"/>
      <c r="AC125" s="210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 t="s">
        <v>524</v>
      </c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09">
        <f t="shared" si="3"/>
        <v>78500</v>
      </c>
      <c r="AA126" s="2"/>
      <c r="AB126" s="21"/>
      <c r="AC126" s="210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 t="s">
        <v>524</v>
      </c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09">
        <f t="shared" si="3"/>
        <v>78500</v>
      </c>
      <c r="AA127" s="2"/>
      <c r="AB127" s="21"/>
      <c r="AC127" s="210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 t="s">
        <v>524</v>
      </c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09">
        <f t="shared" si="3"/>
        <v>78500</v>
      </c>
      <c r="AA128" s="2"/>
      <c r="AB128" s="21"/>
      <c r="AC128" s="210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 t="s">
        <v>524</v>
      </c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09">
        <f t="shared" si="3"/>
        <v>78500</v>
      </c>
      <c r="AA129" s="2"/>
      <c r="AB129" s="21"/>
      <c r="AC129" s="210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 t="s">
        <v>524</v>
      </c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09">
        <f t="shared" si="3"/>
        <v>78500</v>
      </c>
      <c r="AA130" s="4"/>
      <c r="AB130" s="21"/>
      <c r="AC130" s="210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09"/>
      <c r="AA131" s="2" t="s">
        <v>193</v>
      </c>
      <c r="AB131" s="21"/>
      <c r="AC131" s="210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09"/>
      <c r="AA132" s="2" t="s">
        <v>194</v>
      </c>
      <c r="AB132" s="21"/>
      <c r="AC132" s="210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9"/>
  <sheetViews>
    <sheetView tabSelected="1" zoomScale="106" workbookViewId="0">
      <selection activeCell="B3" sqref="B3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  <row r="9" spans="1:10" x14ac:dyDescent="0.2">
      <c r="A9" s="62">
        <v>8</v>
      </c>
      <c r="B9" s="62" t="s">
        <v>524</v>
      </c>
      <c r="C9" s="62"/>
      <c r="D9" s="62">
        <v>1860000000</v>
      </c>
      <c r="E9" s="62"/>
      <c r="F9" s="62"/>
      <c r="G9" s="211">
        <v>195000000000</v>
      </c>
      <c r="H9" s="62"/>
      <c r="I9" s="62"/>
      <c r="J9" s="62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zoomScale="75" workbookViewId="0">
      <selection activeCell="I17" sqref="I17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521</v>
      </c>
      <c r="I1" s="204" t="s">
        <v>522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0.55000000000000004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0.55000000000000004</v>
      </c>
    </row>
    <row r="4" spans="1:9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0.2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>
        <v>253</v>
      </c>
      <c r="I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>
        <v>335</v>
      </c>
      <c r="I6">
        <v>0.2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>
        <v>335</v>
      </c>
      <c r="I7">
        <v>0.2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F17"/>
  <sheetViews>
    <sheetView workbookViewId="0">
      <selection activeCell="G17" sqref="G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6" x14ac:dyDescent="0.2">
      <c r="A1" s="61" t="s">
        <v>415</v>
      </c>
      <c r="B1" s="61" t="s">
        <v>407</v>
      </c>
      <c r="C1" s="61" t="s">
        <v>520</v>
      </c>
      <c r="D1" s="61" t="s">
        <v>519</v>
      </c>
      <c r="E1" s="61" t="s">
        <v>127</v>
      </c>
      <c r="F1" s="61" t="s">
        <v>523</v>
      </c>
    </row>
    <row r="2" spans="1:6" x14ac:dyDescent="0.2">
      <c r="A2" s="56">
        <v>1</v>
      </c>
      <c r="B2" s="56" t="s">
        <v>513</v>
      </c>
      <c r="C2" s="56">
        <v>6.0000000000000001E-3</v>
      </c>
      <c r="D2" s="56">
        <v>5830000</v>
      </c>
      <c r="E2" s="203">
        <v>8</v>
      </c>
      <c r="F2" s="203">
        <v>0.02</v>
      </c>
    </row>
    <row r="3" spans="1:6" x14ac:dyDescent="0.2">
      <c r="A3" s="56">
        <v>2</v>
      </c>
      <c r="B3" s="56" t="s">
        <v>514</v>
      </c>
      <c r="C3" s="56">
        <v>8.0000000000000002E-3</v>
      </c>
      <c r="D3" s="56">
        <v>7780000</v>
      </c>
      <c r="E3" s="56">
        <v>9</v>
      </c>
      <c r="F3" s="56">
        <v>0.02</v>
      </c>
    </row>
    <row r="4" spans="1:6" x14ac:dyDescent="0.2">
      <c r="A4" s="56">
        <v>3</v>
      </c>
      <c r="B4" s="56" t="s">
        <v>515</v>
      </c>
      <c r="C4" s="56">
        <v>0.01</v>
      </c>
      <c r="D4" s="56">
        <v>9700000</v>
      </c>
      <c r="E4" s="56">
        <v>10</v>
      </c>
      <c r="F4" s="56">
        <v>2.5000000000000001E-2</v>
      </c>
    </row>
    <row r="5" spans="1:6" x14ac:dyDescent="0.2">
      <c r="A5" s="56">
        <v>4</v>
      </c>
      <c r="B5" s="56" t="s">
        <v>516</v>
      </c>
      <c r="C5" s="56">
        <v>1.2E-2</v>
      </c>
      <c r="D5" s="56">
        <v>11670000</v>
      </c>
      <c r="E5" s="56">
        <v>11</v>
      </c>
      <c r="F5" s="56">
        <v>2.5000000000000001E-2</v>
      </c>
    </row>
    <row r="6" spans="1:6" x14ac:dyDescent="0.2">
      <c r="A6" s="56">
        <v>5</v>
      </c>
      <c r="B6" s="56" t="s">
        <v>518</v>
      </c>
      <c r="C6" s="56"/>
      <c r="D6" s="56">
        <v>100000000</v>
      </c>
      <c r="E6" s="62">
        <v>30</v>
      </c>
      <c r="F6" s="62">
        <v>0.01</v>
      </c>
    </row>
    <row r="14" spans="1:6" x14ac:dyDescent="0.2">
      <c r="C14" s="202"/>
    </row>
    <row r="15" spans="1:6" x14ac:dyDescent="0.2">
      <c r="C15" s="202"/>
    </row>
    <row r="16" spans="1:6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2026-05-14T06:50:46Z</dcterms:modified>
</cp:coreProperties>
</file>