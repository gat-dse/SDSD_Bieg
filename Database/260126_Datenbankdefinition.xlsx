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451D9134-3CDB-794D-A94C-48E9C3B75C34}" xr6:coauthVersionLast="47" xr6:coauthVersionMax="47" xr10:uidLastSave="{00000000-0000-0000-0000-000000000000}"/>
  <bookViews>
    <workbookView xWindow="600" yWindow="840" windowWidth="25180" windowHeight="16700" activeTab="3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2" i="1" l="1"/>
  <c r="W63" i="1"/>
  <c r="W64" i="1"/>
  <c r="W65" i="1"/>
  <c r="W6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V53" i="1"/>
  <c r="T53" i="1" s="1"/>
  <c r="V52" i="1"/>
  <c r="U52" i="1"/>
  <c r="V51" i="1"/>
  <c r="U51" i="1"/>
  <c r="V50" i="1"/>
  <c r="U50" i="1"/>
  <c r="V49" i="1"/>
  <c r="U49" i="1"/>
  <c r="V48" i="1"/>
  <c r="T48" i="1" s="1"/>
  <c r="V46" i="1"/>
  <c r="T46" i="1" s="1"/>
  <c r="V47" i="1"/>
  <c r="T47" i="1" s="1"/>
  <c r="U39" i="1"/>
  <c r="V45" i="1"/>
  <c r="U45" i="1"/>
  <c r="V44" i="1"/>
  <c r="U44" i="1"/>
  <c r="V43" i="1"/>
  <c r="T43" i="1" s="1"/>
  <c r="V42" i="1"/>
  <c r="U42" i="1"/>
  <c r="V41" i="1"/>
  <c r="T55" i="1" s="1"/>
  <c r="W55" i="1" s="1"/>
  <c r="U41" i="1"/>
  <c r="V40" i="1"/>
  <c r="T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T68" i="1"/>
  <c r="W68" i="1" s="1"/>
  <c r="T49" i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T45" i="1"/>
  <c r="T52" i="1"/>
  <c r="T44" i="1"/>
  <c r="T51" i="1"/>
  <c r="T39" i="1"/>
  <c r="T41" i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<sst xmlns="http://schemas.openxmlformats.org/spreadsheetml/2006/main" count="1891" uniqueCount="521">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</sst>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5" fillId="0" borderId="0"/>
  </cellStyleXfs>
  <cellXfs count="213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20" fillId="8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9" borderId="2" xfId="0" applyNumberFormat="1" applyFont="1" applyFill="1" applyBorder="1" applyAlignment="1">
      <alignment horizontal="right"/>
    </xf>
    <xf numFmtId="1" fontId="3" fillId="9" borderId="7" xfId="0" applyNumberFormat="1" applyFont="1" applyFill="1" applyBorder="1" applyAlignment="1">
      <alignment horizontal="right"/>
    </xf>
    <xf numFmtId="1" fontId="4" fillId="9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9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1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1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2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3" fillId="0" borderId="7" xfId="0" applyFont="1" applyBorder="1"/>
    <xf numFmtId="165" fontId="22" fillId="0" borderId="0" xfId="0" applyNumberFormat="1" applyFont="1"/>
    <xf numFmtId="0" fontId="22" fillId="0" borderId="0" xfId="0" applyFont="1"/>
    <xf numFmtId="165" fontId="24" fillId="0" borderId="0" xfId="0" applyNumberFormat="1" applyFont="1" applyAlignment="1">
      <alignment wrapText="1"/>
    </xf>
    <xf numFmtId="166" fontId="23" fillId="0" borderId="7" xfId="0" applyNumberFormat="1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165" fontId="23" fillId="0" borderId="0" xfId="0" applyNumberFormat="1" applyFont="1" applyAlignment="1">
      <alignment horizontal="left"/>
    </xf>
    <xf numFmtId="0" fontId="26" fillId="0" borderId="7" xfId="0" applyFont="1" applyBorder="1" applyAlignment="1">
      <alignment horizontal="left"/>
    </xf>
    <xf numFmtId="14" fontId="26" fillId="0" borderId="7" xfId="0" applyNumberFormat="1" applyFont="1" applyBorder="1" applyAlignment="1">
      <alignment horizontal="left"/>
    </xf>
    <xf numFmtId="0" fontId="26" fillId="0" borderId="2" xfId="0" quotePrefix="1" applyFont="1" applyBorder="1"/>
    <xf numFmtId="49" fontId="26" fillId="0" borderId="20" xfId="0" applyNumberFormat="1" applyFont="1" applyBorder="1"/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9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9" borderId="2" xfId="0" applyFont="1" applyFill="1" applyBorder="1"/>
    <xf numFmtId="1" fontId="0" fillId="0" borderId="0" xfId="0" applyNumberFormat="1"/>
    <xf numFmtId="0" fontId="0" fillId="0" borderId="14" xfId="0" applyBorder="1"/>
  </cellXfs>
  <cellStyles count="2">
    <cellStyle name="Normal" xfId="0" builtinId="0"/>
    <cellStyle name="Standard 2" xfId="1" xr:uid="{FDCFE4BD-E849-456C-8E2E-B78D9BD993F6}"/>
  </cellStyles>
  <dxfs count="56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B132" totalsRowShown="0" headerRowDxfId="46" dataDxfId="45">
  <autoFilter ref="A1:AB132" xr:uid="{690E7B34-75E3-43BA-8CDD-44A4EFCCEFD5}"/>
  <tableColumns count="28">
    <tableColumn id="9" xr3:uid="{1DBBD25D-72F9-4A81-9CFA-500505E3628D}" name="ID" dataDxfId="44"/>
    <tableColumn id="14" xr3:uid="{6844A52F-C967-44C0-BF5C-160C47AB6E64}" name="PRO_ID" dataDxfId="43"/>
    <tableColumn id="12" xr3:uid="{4EDF1E73-4744-474F-8DFE-7F72FB05613C}" name="EPD_ID" dataDxfId="42"/>
    <tableColumn id="1" xr3:uid="{1CF2E22E-1020-4F35-B31F-6350A15A5DE8}" name="SOURCE" dataDxfId="41"/>
    <tableColumn id="27" xr3:uid="{07F74D5D-9130-4120-B02C-A11234427F46}" name="KBOB ID-Nr." dataDxfId="40"/>
    <tableColumn id="11" xr3:uid="{81FE7F31-5F54-40F9-B99E-827E048F7DB5}" name="EPD_DATE" dataDxfId="39"/>
    <tableColumn id="10" xr3:uid="{54D8BA04-0FEF-4C3B-9B14-59E8F982CD3F}" name="VALID_TO" dataDxfId="38"/>
    <tableColumn id="22" xr3:uid="{3D6FC370-B8A8-40C3-9FC8-791B178DDFDF}" name="COUNTRY" dataDxfId="37"/>
    <tableColumn id="4" xr3:uid="{25C7280F-4E3E-4E39-BDBB-DC06DF090C5B}" name="PRODUCT_NAME" dataDxfId="36"/>
    <tableColumn id="26" xr3:uid="{1053A7DD-B11F-4E75-92EC-BC0F866E90B4}" name="OEKOBAUDAT_ID" dataDxfId="35"/>
    <tableColumn id="25" xr3:uid="{295F99F8-E318-45C9-833E-F0B45A26471A}" name="MATERIAL_GROUP" dataDxfId="34"/>
    <tableColumn id="2" xr3:uid="{1326FCEF-D1EE-4F3A-BB8B-77CB4EC72B0C}" name="MATERIAL" dataDxfId="33"/>
    <tableColumn id="5" xr3:uid="{9B2A7F84-D968-4A00-B61F-23BB0661E7A3}" name="CEMENT" dataDxfId="32"/>
    <tableColumn id="6" xr3:uid="{2F6E5831-6238-4360-9CFD-ED23A193E761}" name="MECH_PROP" dataDxfId="31"/>
    <tableColumn id="13" xr3:uid="{50DAB01C-8AF5-4E0C-9904-54F70B81BC55}" name="DENSITY" dataDxfId="30"/>
    <tableColumn id="18" xr3:uid="{F799A4D4-9543-475F-989E-CFBA47249558}" name="EXPOSITIONSKLASSE" dataDxfId="29"/>
    <tableColumn id="17" xr3:uid="{ECCBC067-991C-4C60-942D-806BCD77B990}" name="GROESSTKORN" dataDxfId="28"/>
    <tableColumn id="16" xr3:uid="{05157B85-D5FB-4844-9B53-D8AB09BCE0D9}" name="CHLORIDGEHALT" dataDxfId="27"/>
    <tableColumn id="15" xr3:uid="{9F53CF50-7148-405A-9295-1F0C3C45645A}" name="KONSISTENZKLASSE" dataDxfId="26"/>
    <tableColumn id="7" xr3:uid="{E23232F6-E86E-4AD2-8257-F30C0D1F7368}" name="Total_GWP" dataDxfId="25"/>
    <tableColumn id="20" xr3:uid="{0A9001B4-3AB4-4C58-B125-0B2AA4DB2681}" name="A1toA3_GWP" dataDxfId="24">
      <calculatedColumnFormula>119+10.9+238</calculatedColumnFormula>
    </tableColumn>
    <tableColumn id="21" xr3:uid="{2799394A-C481-45CE-B194-AAABAB0AED38}" name="C1toC4_GWP" dataDxfId="23">
      <calculatedColumnFormula>51.1+26+2.64+12.6</calculatedColumnFormula>
    </tableColumn>
    <tableColumn id="19" xr3:uid="{70561D70-9D02-4E93-A395-229DA8696DDA}" name="ValidEPD" dataDxfId="22">
      <calculatedColumnFormula>IF(OR($D2="Ecoinvent",$D2="Betonsortenrechner",$D2="KBOB",$T2&lt;=0),0,1)</calculatedColumnFormula>
    </tableColumn>
    <tableColumn id="29" xr3:uid="{92D55BC7-F55B-406A-B127-69EC2F0A8B77}" name="noch gültig" dataDxfId="21">
      <calculatedColumnFormula>IF(Table2[[#This Row],[VALID_TO]]&gt;=TODAY(), 1, 0)</calculatedColumnFormula>
    </tableColumn>
    <tableColumn id="3" xr3:uid="{DB90AC0A-8933-4040-BADE-E6EE11AC8BD7}" name="Statistik" dataDxfId="20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19"/>
    <tableColumn id="24" xr3:uid="{5321A0E1-043C-4E95-A6DA-41830364B2BC}" name="Anmerkung" dataDxfId="18"/>
    <tableColumn id="23" xr3:uid="{61456234-34E8-4222-B2D6-9DDA8E83B081}" name="Spalte 1" dataDxfId="1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16" dataDxfId="14" headerRowBorderDxfId="15" tableBorderDxfId="13" totalsRowBorderDxfId="12">
  <autoFilter ref="A1:J8" xr:uid="{188FAA96-3B75-4826-B66B-A81D5BCFC670}"/>
  <tableColumns count="10">
    <tableColumn id="1" xr3:uid="{AF3C694B-2C8A-40EE-B8BB-2EC9EB81A87A}" name="mat_ID" dataDxfId="11"/>
    <tableColumn id="2" xr3:uid="{B447FBC2-C455-4332-8F47-150B112A57E0}" name="name" dataDxfId="10"/>
    <tableColumn id="3" xr3:uid="{BAFC6B47-7268-46CC-A881-892C9A1F4334}" name="strength_comp" dataDxfId="9"/>
    <tableColumn id="4" xr3:uid="{6FC4C8EB-7581-4E67-81CE-C724161F0838}" name="strength_tens" dataDxfId="8"/>
    <tableColumn id="5" xr3:uid="{A875970E-61A9-43B5-9361-7616A74C3147}" name="strength_bend" dataDxfId="7"/>
    <tableColumn id="6" xr3:uid="{EF5B3A69-DD70-420A-88FF-4FE8772A2E14}" name="strength_shea" dataDxfId="6"/>
    <tableColumn id="7" xr3:uid="{ED461A80-736C-42BD-81BC-C5C0C80FF34C}" name="E_modulus" dataDxfId="5"/>
    <tableColumn id="8" xr3:uid="{68E47481-7028-4427-B126-2A046FC46737}" name="density_load" dataDxfId="4"/>
    <tableColumn id="9" xr3:uid="{7AB34570-2BD4-417F-B141-70612577C7D6}" name="burn_rate" dataDxfId="3"/>
    <tableColumn id="10" xr3:uid="{69298654-E280-9D4B-9717-7904FADC15B5}" name="phi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55" dataDxfId="53" headerRowBorderDxfId="54" tableBorderDxfId="52" totalsRowBorderDxfId="51">
  <autoFilter ref="A1:D6" xr:uid="{1CD264FD-E2C0-E94F-B387-736226CC982D}"/>
  <tableColumns count="4">
    <tableColumn id="1" xr3:uid="{6590463D-C242-4C4D-AA1F-6FA1F0D35E6F}" name="mat_ID" dataDxfId="50"/>
    <tableColumn id="2" xr3:uid="{603BAED4-55F2-D040-9D73-1611C1564A84}" name="name" dataDxfId="49"/>
    <tableColumn id="3" xr3:uid="{D6CC67C0-1ACA-D446-A6F3-00BCC3AC8DAC}" name="d" dataDxfId="48"/>
    <tableColumn id="4" xr3:uid="{3D62C7FF-3D7F-B245-A874-3A95DF0C49D2}" name="K_ser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zoomScale="106" zoomScaleNormal="100" workbookViewId="0">
      <selection activeCell="N29" sqref="N29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6.6640625" customWidth="1"/>
    <col min="27" max="27" width="71" customWidth="1"/>
    <col min="28" max="28" width="23.6640625" style="188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86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201" t="s">
        <v>510</v>
      </c>
      <c r="Y1" s="138" t="s">
        <v>394</v>
      </c>
      <c r="Z1" s="153" t="s">
        <v>127</v>
      </c>
      <c r="AA1" s="109" t="s">
        <v>335</v>
      </c>
      <c r="AB1" s="192" t="s">
        <v>497</v>
      </c>
      <c r="AC1" s="71"/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202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154"/>
      <c r="AA2" s="11"/>
      <c r="AB2" s="21"/>
      <c r="AC2" s="21"/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202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155"/>
      <c r="AA3" s="11"/>
      <c r="AB3" s="21"/>
      <c r="AC3" s="21"/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202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155"/>
      <c r="AA4" s="11"/>
      <c r="AB4" s="21"/>
      <c r="AC4" s="21"/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202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155"/>
      <c r="AA5" s="11"/>
      <c r="AB5" s="21"/>
      <c r="AC5" s="21"/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202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155"/>
      <c r="AA6" s="11"/>
      <c r="AB6" s="21"/>
      <c r="AC6" s="21"/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202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155"/>
      <c r="AA7" s="11"/>
      <c r="AB7" s="21"/>
      <c r="AC7" s="21"/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202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155"/>
      <c r="AA8" s="11"/>
      <c r="AB8" s="21"/>
      <c r="AC8" s="21"/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202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155"/>
      <c r="AA9" s="11"/>
      <c r="AB9" s="21"/>
      <c r="AC9" s="165"/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202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155"/>
      <c r="AA10" s="11"/>
      <c r="AB10" s="21"/>
      <c r="AC10" s="165"/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202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155"/>
      <c r="AA11" s="11"/>
      <c r="AB11" s="21"/>
      <c r="AC11" s="165"/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202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155"/>
      <c r="AA12" s="11"/>
      <c r="AB12" s="21"/>
      <c r="AC12" s="165"/>
    </row>
    <row r="13" spans="1:29" s="41" customFormat="1" x14ac:dyDescent="0.2">
      <c r="A13" s="94" t="s">
        <v>351</v>
      </c>
      <c r="B13" s="183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203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156"/>
      <c r="AA13" s="38"/>
      <c r="AB13" s="21"/>
      <c r="AC13" s="165"/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203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156"/>
      <c r="AA14" s="38"/>
      <c r="AB14" s="21"/>
      <c r="AC14" s="165"/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203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156"/>
      <c r="AA15" s="38"/>
      <c r="AB15" s="21"/>
      <c r="AC15" s="21"/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203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156"/>
      <c r="AA16" s="38"/>
      <c r="AB16" s="21"/>
      <c r="AC16"/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203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156"/>
      <c r="AA17" s="38"/>
      <c r="AB17" s="21"/>
      <c r="AC17"/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203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156"/>
      <c r="AA18" s="38"/>
      <c r="AB18" s="21"/>
      <c r="AC18"/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203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156"/>
      <c r="AA19" s="38"/>
      <c r="AB19" s="21"/>
      <c r="AC19"/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203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156"/>
      <c r="AA20" s="38"/>
      <c r="AB20" s="21"/>
      <c r="AC20"/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203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156"/>
      <c r="AA21" s="38"/>
      <c r="AB21" s="21"/>
      <c r="AC21"/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203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156"/>
      <c r="AA22" s="38"/>
      <c r="AB22" s="21"/>
      <c r="AC22"/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203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156"/>
      <c r="AA23" s="38"/>
      <c r="AB23" s="21"/>
      <c r="AC23"/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207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157"/>
      <c r="AA24" s="2"/>
      <c r="AB24" s="21"/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207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157"/>
      <c r="AA25" s="2"/>
      <c r="AB25" s="21"/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207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157"/>
      <c r="AA26" s="2"/>
      <c r="AB26" s="21"/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207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157"/>
      <c r="AA27" s="2"/>
      <c r="AB27" s="21"/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207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157"/>
      <c r="AA28" s="2"/>
      <c r="AB28" s="21"/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207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157"/>
      <c r="AA29" s="2"/>
      <c r="AB29" s="21"/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207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157"/>
      <c r="AA30" s="2"/>
      <c r="AB30" s="21"/>
    </row>
    <row r="31" spans="1:29" x14ac:dyDescent="0.2">
      <c r="A31" s="162" t="s">
        <v>486</v>
      </c>
      <c r="B31" s="163">
        <v>30</v>
      </c>
      <c r="C31" s="16"/>
      <c r="D31" s="17" t="s">
        <v>479</v>
      </c>
      <c r="E31" s="189" t="s">
        <v>500</v>
      </c>
      <c r="F31" s="36"/>
      <c r="G31" s="36"/>
      <c r="H31" s="31"/>
      <c r="I31" s="16" t="s">
        <v>478</v>
      </c>
      <c r="J31" s="177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204">
        <f ca="1">IF(Table2[[#This Row],[VALID_TO]]&gt;=TODAY(), 1, 0)</f>
        <v>0</v>
      </c>
      <c r="Y31" s="164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161"/>
      <c r="AA31" s="2"/>
      <c r="AB31" s="187"/>
    </row>
    <row r="32" spans="1:29" x14ac:dyDescent="0.2">
      <c r="A32" s="162" t="s">
        <v>487</v>
      </c>
      <c r="B32" s="163">
        <v>31</v>
      </c>
      <c r="C32" s="16"/>
      <c r="D32" s="17" t="s">
        <v>479</v>
      </c>
      <c r="E32" s="189" t="s">
        <v>501</v>
      </c>
      <c r="F32" s="36"/>
      <c r="G32" s="36"/>
      <c r="H32" s="31"/>
      <c r="I32" s="107" t="s">
        <v>480</v>
      </c>
      <c r="J32" s="177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204">
        <f ca="1">IF(Table2[[#This Row],[VALID_TO]]&gt;=TODAY(), 1, 0)</f>
        <v>0</v>
      </c>
      <c r="Y32" s="164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161"/>
      <c r="AA32" s="2"/>
      <c r="AB32" s="190"/>
    </row>
    <row r="33" spans="1:29" x14ac:dyDescent="0.2">
      <c r="A33" s="162" t="s">
        <v>488</v>
      </c>
      <c r="B33" s="163">
        <v>32</v>
      </c>
      <c r="C33" s="16"/>
      <c r="D33" s="17" t="s">
        <v>479</v>
      </c>
      <c r="E33" s="194" t="s">
        <v>502</v>
      </c>
      <c r="F33" s="36"/>
      <c r="G33" s="36"/>
      <c r="H33" s="31"/>
      <c r="I33" s="107" t="s">
        <v>481</v>
      </c>
      <c r="J33" s="177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204">
        <f ca="1">IF(Table2[[#This Row],[VALID_TO]]&gt;=TODAY(), 1, 0)</f>
        <v>0</v>
      </c>
      <c r="Y33" s="164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161"/>
      <c r="AA33" s="2"/>
      <c r="AB33" s="190"/>
    </row>
    <row r="34" spans="1:29" x14ac:dyDescent="0.2">
      <c r="A34" s="162" t="s">
        <v>489</v>
      </c>
      <c r="B34" s="163">
        <v>33</v>
      </c>
      <c r="C34" s="16"/>
      <c r="D34" s="17" t="s">
        <v>479</v>
      </c>
      <c r="E34" s="194" t="s">
        <v>503</v>
      </c>
      <c r="F34" s="36"/>
      <c r="G34" s="36"/>
      <c r="H34" s="31"/>
      <c r="I34" s="107" t="s">
        <v>482</v>
      </c>
      <c r="J34" s="177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204">
        <f ca="1">IF(Table2[[#This Row],[VALID_TO]]&gt;=TODAY(), 1, 0)</f>
        <v>0</v>
      </c>
      <c r="Y34" s="164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161"/>
      <c r="AA34" s="2"/>
      <c r="AB34" s="190"/>
    </row>
    <row r="35" spans="1:29" x14ac:dyDescent="0.2">
      <c r="A35" s="162" t="s">
        <v>490</v>
      </c>
      <c r="B35" s="178">
        <v>34</v>
      </c>
      <c r="C35" s="16"/>
      <c r="D35" s="17" t="s">
        <v>479</v>
      </c>
      <c r="E35" s="194" t="s">
        <v>504</v>
      </c>
      <c r="F35" s="36"/>
      <c r="G35" s="36"/>
      <c r="H35" s="31"/>
      <c r="I35" s="107" t="s">
        <v>483</v>
      </c>
      <c r="J35" s="177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204">
        <f ca="1">IF(Table2[[#This Row],[VALID_TO]]&gt;=TODAY(), 1, 0)</f>
        <v>0</v>
      </c>
      <c r="Y35" s="164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161"/>
      <c r="AA35" s="2"/>
      <c r="AB35" s="190"/>
    </row>
    <row r="36" spans="1:29" x14ac:dyDescent="0.2">
      <c r="A36" s="162" t="s">
        <v>491</v>
      </c>
      <c r="B36" s="163">
        <v>35</v>
      </c>
      <c r="C36" s="16"/>
      <c r="D36" s="17" t="s">
        <v>479</v>
      </c>
      <c r="E36" s="194" t="s">
        <v>505</v>
      </c>
      <c r="F36" s="36"/>
      <c r="G36" s="36"/>
      <c r="H36" s="31"/>
      <c r="I36" s="107" t="s">
        <v>484</v>
      </c>
      <c r="J36" s="177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204">
        <f ca="1">IF(Table2[[#This Row],[VALID_TO]]&gt;=TODAY(), 1, 0)</f>
        <v>0</v>
      </c>
      <c r="Y36" s="164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161"/>
      <c r="AA36" s="2"/>
      <c r="AB36" s="190"/>
    </row>
    <row r="37" spans="1:29" s="15" customFormat="1" ht="16" thickBot="1" x14ac:dyDescent="0.25">
      <c r="A37" s="179" t="s">
        <v>200</v>
      </c>
      <c r="B37" s="180">
        <v>36</v>
      </c>
      <c r="C37" s="13"/>
      <c r="D37" s="14" t="s">
        <v>479</v>
      </c>
      <c r="E37" s="195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81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205">
        <f ca="1">IF(Table2[[#This Row],[VALID_TO]]&gt;=TODAY(), 1, 0)</f>
        <v>0</v>
      </c>
      <c r="Y37" s="182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158"/>
      <c r="AA37" s="13"/>
      <c r="AB37" s="190"/>
      <c r="AC37"/>
    </row>
    <row r="38" spans="1:29" s="15" customFormat="1" x14ac:dyDescent="0.2">
      <c r="A38" s="162" t="s">
        <v>198</v>
      </c>
      <c r="B38" s="163">
        <v>37</v>
      </c>
      <c r="C38" s="16"/>
      <c r="D38" s="17" t="s">
        <v>479</v>
      </c>
      <c r="E38" s="196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204">
        <f ca="1">IF(Table2[[#This Row],[VALID_TO]]&gt;=TODAY(), 1, 0)</f>
        <v>0</v>
      </c>
      <c r="Y38" s="164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159"/>
      <c r="AA38" s="16"/>
      <c r="AB38" s="190"/>
      <c r="AC38"/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207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157"/>
      <c r="AA39" s="2"/>
      <c r="AB39" s="191"/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207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157"/>
      <c r="AA40" s="2"/>
      <c r="AB40" s="191"/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207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157"/>
      <c r="AA41" s="2"/>
      <c r="AB41" s="191"/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207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157"/>
      <c r="AA42" s="2"/>
      <c r="AB42" s="191"/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207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157"/>
      <c r="AA43" s="2"/>
      <c r="AB43" s="191"/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207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157"/>
      <c r="AA44" s="2"/>
      <c r="AB44" s="191"/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207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157"/>
      <c r="AA45" s="2"/>
      <c r="AB45" s="191"/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207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157"/>
      <c r="AA46" s="2"/>
      <c r="AB46" s="191"/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207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157"/>
      <c r="AA47" s="2"/>
      <c r="AB47" s="191"/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207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157"/>
      <c r="AA48" s="2"/>
      <c r="AB48" s="191"/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207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157"/>
      <c r="AA49" s="2"/>
      <c r="AB49" s="191"/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207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157"/>
      <c r="AA50" s="2"/>
      <c r="AB50" s="191"/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207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157"/>
      <c r="AA51" s="2"/>
      <c r="AB51" s="191"/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1</v>
      </c>
      <c r="X52" s="207">
        <f ca="1">IF(Table2[[#This Row],[VALID_TO]]&gt;=TODAY(), 1, 0)</f>
        <v>1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1</v>
      </c>
      <c r="Z52" s="157"/>
      <c r="AA52" s="2"/>
      <c r="AB52" s="191"/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207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157"/>
      <c r="AA53" s="2"/>
      <c r="AB53" s="191"/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207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157"/>
      <c r="AA54" s="2"/>
      <c r="AB54" s="191"/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208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160"/>
      <c r="AA55" s="4"/>
      <c r="AB55" s="191"/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202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155"/>
      <c r="AA56" s="11"/>
      <c r="AB56" s="191"/>
      <c r="AC56"/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202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155"/>
      <c r="AA57" s="11"/>
      <c r="AB57" s="191"/>
      <c r="AC57"/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202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155"/>
      <c r="AA58" s="11"/>
      <c r="AB58" s="191"/>
      <c r="AC58"/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202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155"/>
      <c r="AA59" s="11"/>
      <c r="AB59" s="191"/>
      <c r="AC59"/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202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155"/>
      <c r="AA60" s="11"/>
      <c r="AB60" s="191"/>
      <c r="AC60"/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202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155"/>
      <c r="AA61" s="11"/>
      <c r="AB61" s="191"/>
      <c r="AC61"/>
    </row>
    <row r="62" spans="1:29" s="15" customFormat="1" x14ac:dyDescent="0.2">
      <c r="A62" s="162" t="s">
        <v>377</v>
      </c>
      <c r="B62" s="163">
        <v>61</v>
      </c>
      <c r="C62" s="20" t="s">
        <v>167</v>
      </c>
      <c r="D62" s="17" t="s">
        <v>479</v>
      </c>
      <c r="E62" s="193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204">
        <f ca="1">IF(Table2[[#This Row],[VALID_TO]]&gt;=TODAY(), 1, 0)</f>
        <v>0</v>
      </c>
      <c r="Y62" s="164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161"/>
      <c r="AA62" s="16"/>
      <c r="AB62" s="190"/>
      <c r="AC62"/>
    </row>
    <row r="63" spans="1:29" s="15" customFormat="1" x14ac:dyDescent="0.2">
      <c r="A63" s="162" t="s">
        <v>230</v>
      </c>
      <c r="B63" s="163">
        <v>62</v>
      </c>
      <c r="C63" s="20" t="s">
        <v>167</v>
      </c>
      <c r="D63" s="17" t="s">
        <v>479</v>
      </c>
      <c r="E63" s="196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204">
        <f ca="1">IF(Table2[[#This Row],[VALID_TO]]&gt;=TODAY(), 1, 0)</f>
        <v>0</v>
      </c>
      <c r="Y63" s="164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161"/>
      <c r="AA63" s="16"/>
      <c r="AB63" s="190"/>
      <c r="AC63"/>
    </row>
    <row r="64" spans="1:29" s="15" customFormat="1" x14ac:dyDescent="0.2">
      <c r="A64" s="162" t="s">
        <v>229</v>
      </c>
      <c r="B64" s="163">
        <v>63</v>
      </c>
      <c r="C64" s="20" t="s">
        <v>167</v>
      </c>
      <c r="D64" s="17" t="s">
        <v>479</v>
      </c>
      <c r="E64" s="193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204">
        <f ca="1">IF(Table2[[#This Row],[VALID_TO]]&gt;=TODAY(), 1, 0)</f>
        <v>0</v>
      </c>
      <c r="Y64" s="164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161"/>
      <c r="AA64" s="16"/>
      <c r="AB64" s="190"/>
      <c r="AC64"/>
    </row>
    <row r="65" spans="1:29" s="15" customFormat="1" x14ac:dyDescent="0.2">
      <c r="A65" s="162" t="s">
        <v>228</v>
      </c>
      <c r="B65" s="163">
        <v>64</v>
      </c>
      <c r="C65" s="20" t="s">
        <v>167</v>
      </c>
      <c r="D65" s="17" t="s">
        <v>479</v>
      </c>
      <c r="E65" s="196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204">
        <f ca="1">IF(Table2[[#This Row],[VALID_TO]]&gt;=TODAY(), 1, 0)</f>
        <v>0</v>
      </c>
      <c r="Y65" s="164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161"/>
      <c r="AA65" s="16"/>
      <c r="AB65" s="190"/>
      <c r="AC65"/>
    </row>
    <row r="66" spans="1:29" s="15" customFormat="1" x14ac:dyDescent="0.2">
      <c r="A66" s="162" t="s">
        <v>227</v>
      </c>
      <c r="B66" s="163">
        <v>65</v>
      </c>
      <c r="C66" s="20" t="s">
        <v>167</v>
      </c>
      <c r="D66" s="189" t="s">
        <v>479</v>
      </c>
      <c r="E66" s="193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204">
        <f ca="1">IF(Table2[[#This Row],[VALID_TO]]&gt;=TODAY(), 1, 0)</f>
        <v>0</v>
      </c>
      <c r="Y66" s="164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161"/>
      <c r="AA66" s="16"/>
      <c r="AB66" s="190"/>
      <c r="AC66"/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98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207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157"/>
      <c r="AA67" s="2" t="s">
        <v>428</v>
      </c>
      <c r="AB67" s="21"/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97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207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157"/>
      <c r="AA68" s="2" t="s">
        <v>429</v>
      </c>
      <c r="AB68" s="21"/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207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157"/>
      <c r="AA69" s="2"/>
      <c r="AB69" s="21"/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207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157"/>
      <c r="AA70" s="2" t="s">
        <v>431</v>
      </c>
      <c r="AB70" s="21"/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207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157"/>
      <c r="AA71" s="2" t="s">
        <v>430</v>
      </c>
      <c r="AB71" s="21"/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207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157"/>
      <c r="AA72" s="2" t="s">
        <v>431</v>
      </c>
      <c r="AB72" s="21"/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207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157"/>
      <c r="AA73" s="2"/>
      <c r="AB73" s="21"/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9" t="s">
        <v>337</v>
      </c>
      <c r="K74" s="2" t="s">
        <v>323</v>
      </c>
      <c r="L74" s="200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207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157"/>
      <c r="AA74" s="63" t="s">
        <v>416</v>
      </c>
      <c r="AB74" s="21" t="s">
        <v>419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207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157"/>
      <c r="AA75" s="2" t="s">
        <v>433</v>
      </c>
      <c r="AB75" s="21"/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207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157"/>
      <c r="AA76" s="2" t="s">
        <v>433</v>
      </c>
      <c r="AB76" s="21"/>
    </row>
    <row r="77" spans="1:29" x14ac:dyDescent="0.2">
      <c r="A77" s="8" t="s">
        <v>369</v>
      </c>
      <c r="B77" s="98">
        <v>76</v>
      </c>
      <c r="C77" s="169" t="s">
        <v>123</v>
      </c>
      <c r="D77" s="170" t="s">
        <v>121</v>
      </c>
      <c r="E77" s="170"/>
      <c r="F77" s="171" t="s">
        <v>123</v>
      </c>
      <c r="G77" s="171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66">
        <f>SUM(Table2[[#This Row],[A1toA3_GWP]:[C1toC4_GWP]])</f>
        <v>3056.7816091954023</v>
      </c>
      <c r="U77" s="172">
        <f>(-1220-1400+3250)/Table2[[#This Row],[DENSITY]]*1000</f>
        <v>1448.2758620689656</v>
      </c>
      <c r="V77" s="168">
        <f>(0.7+699)/Table2[[#This Row],[DENSITY]]*1000</f>
        <v>1608.5057471264367</v>
      </c>
      <c r="W77" s="50">
        <v>0</v>
      </c>
      <c r="X77" s="206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157"/>
      <c r="AA77" s="2"/>
      <c r="AB77" s="21"/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207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157"/>
      <c r="AA78" s="2"/>
      <c r="AB78" s="21"/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207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157"/>
      <c r="AA79" s="2" t="s">
        <v>438</v>
      </c>
      <c r="AB79" s="21"/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66">
        <f>SUM(Table2[[#This Row],[A1toA3_GWP]:[C1toC4_GWP]])</f>
        <v>-66.186046511627865</v>
      </c>
      <c r="U80" s="167">
        <f>-780/Table2[[#This Row],[DENSITY]]*1000</f>
        <v>-1813.9534883720928</v>
      </c>
      <c r="V80" s="168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206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157"/>
      <c r="AA80" s="2" t="s">
        <v>439</v>
      </c>
      <c r="AB80" s="21"/>
    </row>
    <row r="81" spans="1:28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207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157"/>
      <c r="AA81" s="2" t="s">
        <v>440</v>
      </c>
      <c r="AB81" s="21" t="s">
        <v>423</v>
      </c>
    </row>
    <row r="82" spans="1:28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207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157"/>
      <c r="AA82" s="2"/>
      <c r="AB82" s="21"/>
    </row>
    <row r="83" spans="1:28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207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157"/>
      <c r="AA83" s="2"/>
      <c r="AB83" s="21"/>
    </row>
    <row r="84" spans="1:28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207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157"/>
      <c r="AA84" s="2"/>
      <c r="AB84" s="21"/>
    </row>
    <row r="85" spans="1:28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207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157"/>
      <c r="AA85" s="2"/>
      <c r="AB85" s="21"/>
    </row>
    <row r="86" spans="1:28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207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157"/>
      <c r="AA86" s="2"/>
      <c r="AB86" s="21"/>
    </row>
    <row r="87" spans="1:28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207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157"/>
      <c r="AA87" s="2"/>
      <c r="AB87" s="21"/>
    </row>
    <row r="88" spans="1:28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207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157"/>
      <c r="AA88" s="2"/>
      <c r="AB88" s="21"/>
    </row>
    <row r="89" spans="1:28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207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157"/>
      <c r="AA89" s="2" t="s">
        <v>434</v>
      </c>
      <c r="AB89" s="21"/>
    </row>
    <row r="90" spans="1:28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66">
        <f>SUM(Table2[[#This Row],[A1toA3_GWP]:[C1toC4_GWP]])</f>
        <v>-1534.8837209302326</v>
      </c>
      <c r="U90" s="167">
        <f>(-660)/Table2[[#This Row],[DENSITY]]*1000</f>
        <v>-1534.8837209302326</v>
      </c>
      <c r="V90" s="168" t="s">
        <v>167</v>
      </c>
      <c r="W90" s="50">
        <f ca="1">IF(OR($D90="Ecoinvent",$D90="Betonsortenrechner",$D90="KBOB",$T90&lt;=0,Table2[[#This Row],[VALID_TO]]&lt;=TODAY()),0,1)</f>
        <v>0</v>
      </c>
      <c r="X90" s="206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157"/>
      <c r="AA90" s="2" t="s">
        <v>432</v>
      </c>
      <c r="AB90" s="21"/>
    </row>
    <row r="91" spans="1:28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207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157"/>
      <c r="AA91" s="2" t="s">
        <v>435</v>
      </c>
      <c r="AB91" s="21"/>
    </row>
    <row r="92" spans="1:28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207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157"/>
      <c r="AA92" s="2" t="s">
        <v>437</v>
      </c>
      <c r="AB92" s="21" t="s">
        <v>436</v>
      </c>
    </row>
    <row r="93" spans="1:28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207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157"/>
      <c r="AA93" s="2" t="s">
        <v>434</v>
      </c>
      <c r="AB93" s="21"/>
    </row>
    <row r="94" spans="1:28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207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157"/>
      <c r="AA94" s="2"/>
      <c r="AB94" s="21"/>
    </row>
    <row r="95" spans="1:28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207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157"/>
      <c r="AA95" s="2"/>
      <c r="AB95" s="21"/>
    </row>
    <row r="96" spans="1:28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66">
        <f>SUM(Table2[[#This Row],[A1toA3_GWP]:[C1toC4_GWP]])</f>
        <v>-220.42826552462543</v>
      </c>
      <c r="U96" s="167">
        <f>(-814)/Table2[[#This Row],[DENSITY]]*1000</f>
        <v>-1743.0406852248395</v>
      </c>
      <c r="V96" s="168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206">
        <f ca="1">IF(Table2[[#This Row],[VALID_TO]]&gt;=TODAY(), 1, 0)</f>
        <v>1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157"/>
      <c r="AA96" s="2" t="s">
        <v>438</v>
      </c>
      <c r="AB96" s="21"/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97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207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157"/>
      <c r="AA97" s="2" t="s">
        <v>418</v>
      </c>
      <c r="AB97" s="21"/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207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157"/>
      <c r="AA98" s="2" t="s">
        <v>417</v>
      </c>
      <c r="AB98" s="21"/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207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157"/>
      <c r="AA99" s="2" t="s">
        <v>420</v>
      </c>
      <c r="AB99" s="21"/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207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157"/>
      <c r="AA100" s="2" t="s">
        <v>421</v>
      </c>
      <c r="AB100" s="21"/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207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157"/>
      <c r="AA101" s="2" t="s">
        <v>422</v>
      </c>
      <c r="AB101" s="21" t="s">
        <v>424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207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157"/>
      <c r="AA102" s="2" t="s">
        <v>426</v>
      </c>
      <c r="AB102" s="21" t="s">
        <v>425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207">
        <f ca="1">IF(Table2[[#This Row],[VALID_TO]]&gt;=TODAY(), 1, 0)</f>
        <v>1</v>
      </c>
      <c r="Y103" s="175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160"/>
      <c r="AA103" s="4" t="s">
        <v>467</v>
      </c>
      <c r="AB103" s="37"/>
    </row>
    <row r="104" spans="1:29" s="15" customFormat="1" x14ac:dyDescent="0.2">
      <c r="A104" s="8" t="s">
        <v>370</v>
      </c>
      <c r="B104" s="98">
        <v>103</v>
      </c>
      <c r="C104" s="16"/>
      <c r="D104" s="189" t="s">
        <v>479</v>
      </c>
      <c r="E104" s="196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202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161"/>
      <c r="AA104" s="184" t="s">
        <v>493</v>
      </c>
      <c r="AB104" s="187"/>
      <c r="AC104"/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202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157"/>
      <c r="AA105" s="185" t="s">
        <v>493</v>
      </c>
      <c r="AB105" s="21"/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202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157"/>
      <c r="AA106" s="185" t="s">
        <v>493</v>
      </c>
      <c r="AB106" s="21"/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202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157"/>
      <c r="AA107" s="185" t="s">
        <v>493</v>
      </c>
      <c r="AB107" s="21"/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202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157"/>
      <c r="AA108" s="185" t="s">
        <v>493</v>
      </c>
      <c r="AB108" s="21"/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202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157"/>
      <c r="AA109" s="185" t="s">
        <v>493</v>
      </c>
      <c r="AB109" s="21"/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202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157"/>
      <c r="AA110" s="185" t="s">
        <v>493</v>
      </c>
      <c r="AB110" s="21"/>
    </row>
    <row r="111" spans="1:29" x14ac:dyDescent="0.2">
      <c r="A111" s="174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202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157"/>
      <c r="AA111" s="185" t="s">
        <v>493</v>
      </c>
      <c r="AB111" s="21"/>
    </row>
    <row r="112" spans="1:29" x14ac:dyDescent="0.2">
      <c r="A112" s="174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202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157"/>
      <c r="AA112" s="185" t="s">
        <v>493</v>
      </c>
      <c r="AB112" s="21"/>
    </row>
    <row r="113" spans="1:28" x14ac:dyDescent="0.2">
      <c r="A113" s="174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202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157"/>
      <c r="AA113" s="185" t="s">
        <v>493</v>
      </c>
      <c r="AB113" s="21"/>
    </row>
    <row r="114" spans="1:28" x14ac:dyDescent="0.2">
      <c r="A114" s="174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202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157"/>
      <c r="AA114" s="185" t="s">
        <v>493</v>
      </c>
      <c r="AB114" s="21"/>
    </row>
    <row r="115" spans="1:28" x14ac:dyDescent="0.2">
      <c r="A115" s="174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202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157"/>
      <c r="AA115" s="2" t="s">
        <v>493</v>
      </c>
      <c r="AB115" s="21"/>
    </row>
    <row r="116" spans="1:28" x14ac:dyDescent="0.2">
      <c r="A116" s="174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202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157"/>
      <c r="AA116" s="2" t="s">
        <v>493</v>
      </c>
      <c r="AB116" s="21"/>
    </row>
    <row r="117" spans="1:28" x14ac:dyDescent="0.2">
      <c r="A117" s="174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202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157"/>
      <c r="AA117" s="2" t="s">
        <v>494</v>
      </c>
      <c r="AB117" s="21"/>
    </row>
    <row r="118" spans="1:28" x14ac:dyDescent="0.2">
      <c r="A118" s="174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66">
        <v>0</v>
      </c>
      <c r="X118" s="202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157"/>
      <c r="AA118" s="210" t="s">
        <v>511</v>
      </c>
      <c r="AB118" s="21"/>
    </row>
    <row r="119" spans="1:28" x14ac:dyDescent="0.2">
      <c r="A119" s="174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202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157"/>
      <c r="AA119" s="2" t="s">
        <v>493</v>
      </c>
      <c r="AB119" s="21"/>
    </row>
    <row r="120" spans="1:28" x14ac:dyDescent="0.2">
      <c r="A120" s="174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202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157"/>
      <c r="AA120" s="2" t="s">
        <v>493</v>
      </c>
      <c r="AB120" s="21"/>
    </row>
    <row r="121" spans="1:28" ht="16" thickBot="1" x14ac:dyDescent="0.25">
      <c r="A121" s="176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9">
        <f ca="1">IF(Table2[[#This Row],[VALID_TO]]&gt;=TODAY(), 1, 0)</f>
        <v>0</v>
      </c>
      <c r="Y121" s="173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160"/>
      <c r="AA121" s="4" t="s">
        <v>493</v>
      </c>
      <c r="AB121" s="37"/>
    </row>
    <row r="122" spans="1:28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202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157"/>
      <c r="AA122" s="2" t="s">
        <v>171</v>
      </c>
      <c r="AB122" s="21"/>
    </row>
    <row r="123" spans="1:28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202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157"/>
      <c r="AA123" s="2"/>
      <c r="AB123" s="21"/>
    </row>
    <row r="124" spans="1:28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202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157"/>
      <c r="AA124" s="2" t="s">
        <v>170</v>
      </c>
      <c r="AB124" s="21"/>
    </row>
    <row r="125" spans="1:28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202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157"/>
      <c r="AA125" s="2" t="s">
        <v>170</v>
      </c>
      <c r="AB125" s="21"/>
    </row>
    <row r="126" spans="1:28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202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157"/>
      <c r="AA126" s="2"/>
      <c r="AB126" s="21"/>
    </row>
    <row r="127" spans="1:28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202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157"/>
      <c r="AA127" s="2"/>
      <c r="AB127" s="21"/>
    </row>
    <row r="128" spans="1:28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202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157"/>
      <c r="AA128" s="2"/>
      <c r="AB128" s="21"/>
    </row>
    <row r="129" spans="1:28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202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157"/>
      <c r="AA129" s="2"/>
      <c r="AB129" s="21"/>
    </row>
    <row r="130" spans="1:28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9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160"/>
      <c r="AA130" s="4"/>
      <c r="AB130" s="21"/>
    </row>
    <row r="131" spans="1:28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202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157"/>
      <c r="AA131" s="2" t="s">
        <v>193</v>
      </c>
      <c r="AB131" s="21"/>
    </row>
    <row r="132" spans="1:28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202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157"/>
      <c r="AA132" s="2" t="s">
        <v>194</v>
      </c>
      <c r="AB132" s="21"/>
    </row>
    <row r="133" spans="1:28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65"/>
    </row>
    <row r="1048469" spans="29:29" x14ac:dyDescent="0.2">
      <c r="AC1048469" s="165"/>
    </row>
    <row r="1048470" spans="29:29" x14ac:dyDescent="0.2">
      <c r="AC1048470" s="165"/>
    </row>
    <row r="1048471" spans="29:29" x14ac:dyDescent="0.2">
      <c r="AC1048471" s="165"/>
    </row>
    <row r="1048472" spans="29:29" x14ac:dyDescent="0.2">
      <c r="AC1048472" s="165"/>
    </row>
    <row r="1048473" spans="29:29" x14ac:dyDescent="0.2">
      <c r="AC1048473" s="165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workbookViewId="0">
      <selection activeCell="B1" sqref="B1:B8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12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zoomScale="138" workbookViewId="0">
      <selection activeCell="D14" sqref="D14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7" max="7" width="30" customWidth="1"/>
  </cols>
  <sheetData>
    <row r="1" spans="1:7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</row>
    <row r="3" spans="1:7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</row>
    <row r="4" spans="1:7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</row>
    <row r="5" spans="1:7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</row>
    <row r="6" spans="1:7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</row>
    <row r="7" spans="1:7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tabSelected="1" workbookViewId="0">
      <selection activeCell="C14" sqref="C14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520</v>
      </c>
      <c r="D1" s="61" t="s">
        <v>519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</v>
      </c>
    </row>
    <row r="6" spans="1:4" x14ac:dyDescent="0.2">
      <c r="A6" s="56">
        <v>5</v>
      </c>
      <c r="B6" s="56" t="s">
        <v>518</v>
      </c>
      <c r="C6" s="56"/>
      <c r="D6" s="56">
        <v>100000</v>
      </c>
    </row>
    <row r="14" spans="1:4" x14ac:dyDescent="0.2">
      <c r="C14" s="211"/>
    </row>
    <row r="15" spans="1:4" x14ac:dyDescent="0.2">
      <c r="C15" s="211"/>
    </row>
    <row r="16" spans="1:4" x14ac:dyDescent="0.2">
      <c r="C16" s="211"/>
    </row>
    <row r="17" spans="3:3" x14ac:dyDescent="0.2">
      <c r="C17" s="2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2026-03-25T14:26:57Z</dcterms:modified>
</cp:coreProperties>
</file>