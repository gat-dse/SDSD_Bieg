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08A7B295-EF35-F44C-9023-62AF7636D597}" xr6:coauthVersionLast="47" xr6:coauthVersionMax="47" xr10:uidLastSave="{00000000-0000-0000-0000-000000000000}"/>
  <bookViews>
    <workbookView xWindow="0" yWindow="660" windowWidth="29400" windowHeight="17160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5" l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56" i="1"/>
  <c r="AC123" i="1" l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<sst xmlns="http://schemas.openxmlformats.org/spreadsheetml/2006/main" count="1905" uniqueCount="526">
  <si>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</si>
  <si>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</si>
  <si>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</si>
  <si>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</si>
  <si>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</si>
  <si>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</si>
  <si>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</si>
  <si>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</si>
  <si>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</si>
  <si>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</si>
  <si>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</si>
  <si>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</si>
  <si>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</si>
  <si>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</si>
  <si>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</si>
  <si>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</si>
  <si>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</si>
  <si>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</si>
  <si>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</si>
  <si>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</si>
  <si>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</si>
  <si>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</si>
  <si>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</si>
  <si>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</si>
  <si>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</si>
  <si>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</si>
  <si>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</si>
  <si>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</si>
  <si>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</si>
  <si>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</si>
  <si>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</si>
  <si>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</si>
  <si>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</si>
  <si>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</si>
  <si>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</si>
  <si>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</si>
  <si>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</si>
  <si>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</si>
  <si>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</si>
  <si>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</si>
  <si>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</si>
  <si>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</si>
  <si>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</si>
  <si>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</si>
  <si>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</si>
  <si>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</si>
  <si>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</si>
  <si>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</si>
  <si>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</si>
  <si>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</si>
  <si>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</si>
  <si>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</si>
  <si>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</si>
  <si>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</si>
  <si>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</si>
  <si>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</si>
  <si>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</si>
  <si>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</si>
  <si>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</si>
  <si>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</si>
  <si>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</si>
  <si>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</si>
  <si>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</si>
  <si>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</si>
  <si>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</si>
  <si>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</si>
  <si>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</si>
  <si>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</si>
  <si>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</si>
  <si>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</si>
  <si>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</si>
  <si>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</si>
  <si>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</si>
  <si>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</si>
  <si>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</si>
  <si>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</si>
  <si>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</si>
  <si>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</si>
  <si>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</si>
  <si>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</si>
  <si>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</si>
  <si>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</si>
  <si>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</si>
  <si>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</si>
  <si>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</si>
  <si>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</si>
  <si>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</si>
  <si>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</si>
  <si>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</si>
  <si>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</si>
  <si>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</si>
  <si>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</si>
  <si>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</si>
  <si>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</si>
  <si>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</si>
  <si>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</si>
  <si>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</si>
  <si>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</si>
  <si>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</si>
  <si>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</si>
  <si>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</si>
  <si>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</si>
  <si>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</si>
  <si>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</si>
  <si>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</si>
  <si>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</si>
  <si>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</si>
  <si>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</si>
  <si>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</si>
  <si>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</si>
  <si>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</si>
  <si>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</si>
  <si>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</si>
  <si>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</si>
  <si>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</si>
  <si>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</si>
  <si>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</si>
  <si>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</si>
  <si>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</si>
  <si>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</si>
  <si>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</si>
  <si>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</si>
  <si>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</si>
  <si>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</si>
  <si>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</si>
  <si>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</si>
  <si>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</si>
  <si>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</si>
  <si>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</si>
  <si>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</si>
  <si>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</si>
  <si>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</si>
  <si>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</si>
  <si>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</si>
  <si>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</si>
  <si>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</si>
  <si>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</si>
  <si>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</si>
  <si>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</si>
  <si>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</si>
  <si>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</si>
  <si>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</si>
  <si>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</si>
  <si>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</si>
  <si>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</si>
  <si>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</si>
  <si>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</si>
  <si>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</si>
  <si>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</si>
  <si>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</si>
  <si>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</si>
  <si>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</si>
  <si>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</si>
  <si>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</si>
  <si>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</si>
  <si>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</si>
  <si>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</si>
  <si>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</si>
  <si>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</si>
  <si>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</si>
  <si>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</si>
  <si>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</si>
  <si>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</si>
  <si>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</si>
  <si>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</si>
  <si>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</si>
  <si>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</si>
  <si>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</si>
  <si>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</si>
  <si>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</si>
  <si>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</si>
  <si>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</si>
  <si>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</si>
  <si>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</si>
  <si>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</si>
  <si>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</si>
  <si>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</si>
  <si>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</si>
  <si>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</si>
  <si>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</si>
  <si>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</si>
  <si>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</si>
  <si>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</si>
  <si>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</si>
  <si>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</si>
  <si>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</si>
  <si>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</si>
  <si>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</si>
  <si>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</si>
  <si>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</si>
  <si>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</si>
  <si>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</si>
  <si>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</si>
  <si>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</si>
  <si>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</si>
  <si>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</si>
  <si>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</si>
  <si>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</si>
  <si>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</si>
  <si>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</si>
  <si>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</si>
  <si>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</si>
  <si>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</si>
  <si>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</si>
  <si>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</si>
  <si>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</si>
  <si>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</si>
  <si>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</si>
  <si>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</si>
  <si>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</si>
  <si>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</si>
  <si>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</si>
  <si>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</si>
  <si>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</si>
  <si>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</si>
  <si>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</si>
  <si>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</si>
  <si>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</si>
  <si>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</si>
  <si>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</si>
  <si>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</si>
  <si>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</si>
  <si>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</si>
  <si>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</si>
  <si>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</si>
  <si>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</si>
  <si>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</si>
  <si>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</si>
  <si>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</si>
  <si>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</si>
  <si>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</si>
  <si>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</si>
  <si>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</si>
  <si>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</si>
  <si>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</si>
  <si>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</si>
  <si>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</si>
  <si>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</si>
  <si>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</si>
  <si>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</si>
  <si>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</si>
  <si>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</si>
  <si>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</si>
  <si>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</si>
  <si>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</si>
  <si>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</si>
  <si>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</si>
  <si>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</si>
  <si>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</si>
  <si>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</si>
  <si>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</si>
  <si>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</si>
  <si>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</si>
  <si>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</si>
  <si>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</si>
  <si>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</si>
  <si>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</si>
  <si>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</si>
  <si>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</si>
  <si>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</si>
  <si>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</si>
  <si>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</si>
  <si>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</si>
  <si>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</si>
  <si>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</si>
  <si>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</si>
  <si>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</si>
  <si>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</si>
  <si>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</si>
  <si>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</si>
  <si>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</si>
  <si>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</si>
  <si>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</si>
  <si>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</si>
  <si>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</si>
  <si>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</si>
  <si>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</si>
  <si>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</si>
  <si>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</si>
  <si>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</si>
  <si>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</si>
  <si>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</si>
  <si>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</si>
  <si>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</si>
  <si>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</si>
  <si>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</si>
  <si>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</si>
  <si>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</si>
  <si>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</si>
  <si>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</si>
  <si>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</si>
  <si>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</si>
  <si>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</si>
  <si>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</si>
  <si>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</si>
  <si>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</si>
  <si>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</si>
  <si>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</si>
  <si>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</si>
  <si>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</si>
  <si>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</si>
  <si>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</si>
  <si>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</si>
  <si>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</si>
  <si>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</si>
  <si>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</si>
  <si>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</si>
  <si>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</si>
  <si>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</si>
  <si>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</si>
  <si>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</si>
  <si>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</si>
  <si>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</si>
  <si>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</si>
  <si>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</si>
  <si>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</si>
  <si>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</si>
  <si>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</si>
  <si>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</si>
  <si>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</si>
  <si>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</si>
  <si>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</si>
  <si>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</si>
  <si>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</si>
  <si>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</si>
  <si>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</si>
  <si>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</si>
  <si>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</si>
  <si>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</si>
  <si>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</si>
  <si>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</si>
  <si>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</si>
  <si>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</si>
  <si>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</si>
  <si>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</si>
  <si>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</si>
  <si>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</si>
  <si>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</si>
  <si>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</si>
  <si>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</si>
  <si>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</si>
  <si>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</si>
  <si>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</si>
  <si>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</si>
  <si>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</si>
  <si>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</si>
  <si>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</si>
  <si>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</si>
  <si>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</si>
  <si>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</si>
  <si>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</si>
  <si>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</si>
  <si>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</si>
  <si>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</si>
  <si>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</si>
  <si>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</si>
  <si>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</si>
  <si>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</si>
  <si>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</si>
  <si>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</si>
  <si>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</si>
  <si>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</si>
  <si>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</si>
  <si>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</si>
  <si>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</si>
  <si>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</si>
  <si>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</si>
  <si>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</si>
  <si>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</si>
  <si>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</si>
  <si>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</si>
  <si>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</si>
  <si>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</si>
  <si>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</si>
  <si>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</si>
  <si>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</si>
  <si>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</si>
  <si>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</si>
  <si>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</si>
  <si>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</si>
  <si>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</si>
  <si>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</si>
  <si>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</si>
  <si>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</si>
  <si>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</si>
  <si>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</si>
  <si>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</si>
  <si>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</si>
  <si>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</si>
  <si>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</si>
  <si>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</si>
  <si>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</si>
  <si>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</si>
  <si>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</si>
  <si>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</si>
  <si>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</si>
  <si>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</si>
  <si>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</si>
  <si>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</si>
  <si>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</si>
  <si>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</si>
  <si>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</si>
  <si>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</si>
  <si>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</si>
  <si>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</si>
  <si>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</si>
  <si>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</si>
  <si>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</si>
  <si>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</si>
  <si>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</si>
  <si>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</si>
  <si>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</si>
  <si>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</si>
  <si>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</si>
  <si>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</si>
  <si>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</si>
  <si>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</si>
  <si>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</si>
  <si>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</si>
  <si>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</si>
  <si>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</si>
  <si>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</si>
  <si>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</si>
  <si>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</si>
  <si>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</si>
  <si>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</si>
  <si>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</si>
  <si>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</si>
  <si>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</si>
  <si>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</si>
  <si>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</si>
  <si>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</si>
  <si>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</si>
  <si>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</si>
  <si>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</si>
  <si>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</si>
  <si>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</si>
  <si>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</si>
  <si>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</si>
  <si>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</si>
  <si>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</si>
  <si>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</si>
  <si>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</si>
  <si>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</si>
  <si>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</si>
  <si>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</si>
  <si>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</si>
  <si>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</si>
  <si>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</si>
  <si>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</si>
  <si>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</si>
  <si>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</si>
  <si>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</si>
  <si>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</si>
  <si>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</si>
  <si>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</si>
  <si>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</si>
  <si>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</si>
  <si>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</si>
  <si>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</si>
  <si>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</si>
  <si>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</si>
  <si>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</si>
  <si>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</si>
  <si>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</si>
  <si>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</si>
  <si>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</si>
  <si>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</si>
  <si>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</si>
  <si>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</si>
  <si>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</si>
  <si>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</si>
  <si>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</si>
  <si>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</si>
  <si>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</si>
  <si>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</si>
  <si>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</si>
  <si>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</si>
  <si>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</si>
  <si>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</si>
  <si>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</si>
  <si>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</si>
  <si>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</si>
  <si>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</si>
  <si>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</si>
  <si>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</si>
  <si>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</si>
  <si>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</si>
  <si>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</si>
  <si>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</si>
  <si>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</si>
  <si>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</si>
  <si>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</si>
  <si>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</si>
  <si>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</si>
  <si>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</si>
  <si>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</si>
  <si>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</si>
  <si>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</si>
  <si>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</si>
  <si>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</si>
  <si>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</si>
  <si>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</si>
  <si>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</si>
  <si>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</si>
  <si>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</si>
  <si>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</si>
  <si>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</si>
  <si>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</si>
  <si>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</si>
  <si>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</si>
  <si>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</si>
  <si>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</si>
  <si>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</si>
  <si>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</si>
  <si>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</si>
  <si>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</si>
  <si>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</si>
  <si>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K_ser</t>
  </si>
  <si>
    <t>d</t>
  </si>
  <si>
    <t>Cost [float, CHF/m3]</t>
  </si>
  <si>
    <t>T_construction [h/m2]</t>
  </si>
  <si>
    <t>T_construction</t>
  </si>
  <si>
    <t>Y1860</t>
  </si>
  <si>
    <t>kerve_30</t>
  </si>
  <si>
    <t>kerve_20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</si>
</sst>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23" fillId="0" borderId="0"/>
  </cellStyleXfs>
  <cellXfs count="224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11" fontId="0" fillId="0" borderId="15" xfId="0" applyNumberFormat="1" applyBorder="1"/>
    <xf numFmtId="1" fontId="7" fillId="0" borderId="28" xfId="0" applyNumberFormat="1" applyFont="1" applyBorder="1" applyAlignment="1">
      <alignment horizontal="right"/>
    </xf>
    <xf numFmtId="0" fontId="7" fillId="9" borderId="29" xfId="0" applyFont="1" applyFill="1" applyBorder="1"/>
    <xf numFmtId="165" fontId="21" fillId="0" borderId="12" xfId="0" applyNumberFormat="1" applyFont="1" applyBorder="1"/>
    <xf numFmtId="0" fontId="25" fillId="9" borderId="12" xfId="0" applyFont="1" applyFill="1" applyBorder="1"/>
    <xf numFmtId="0" fontId="9" fillId="9" borderId="29" xfId="0" applyFont="1" applyFill="1" applyBorder="1"/>
    <xf numFmtId="0" fontId="21" fillId="0" borderId="12" xfId="0" applyFont="1" applyBorder="1"/>
    <xf numFmtId="1" fontId="7" fillId="0" borderId="30" xfId="0" applyNumberFormat="1" applyFont="1" applyBorder="1" applyAlignment="1">
      <alignment horizontal="right"/>
    </xf>
    <xf numFmtId="1" fontId="4" fillId="8" borderId="30" xfId="0" applyNumberFormat="1" applyFont="1" applyFill="1" applyBorder="1" applyAlignment="1">
      <alignment horizontal="right"/>
    </xf>
    <xf numFmtId="0" fontId="3" fillId="9" borderId="29" xfId="0" applyFont="1" applyFill="1" applyBorder="1"/>
    <xf numFmtId="0" fontId="7" fillId="9" borderId="7" xfId="0" applyFont="1" applyFill="1" applyBorder="1" applyAlignment="1">
      <alignment horizontal="left"/>
    </xf>
    <xf numFmtId="0" fontId="3" fillId="9" borderId="7" xfId="0" applyFont="1" applyFill="1" applyBorder="1" applyAlignment="1">
      <alignment horizontal="left"/>
    </xf>
    <xf numFmtId="0" fontId="3" fillId="9" borderId="8" xfId="0" applyFont="1" applyFill="1" applyBorder="1" applyAlignment="1">
      <alignment horizontal="left"/>
    </xf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7" dataDxfId="46">
  <autoFilter ref="A1:AC132" xr:uid="{690E7B34-75E3-43BA-8CDD-44A4EFCCEFD5}"/>
  <tableColumns count="29">
    <tableColumn id="9" xr3:uid="{1DBBD25D-72F9-4A81-9CFA-500505E3628D}" name="ID" dataDxfId="45"/>
    <tableColumn id="14" xr3:uid="{6844A52F-C967-44C0-BF5C-160C47AB6E64}" name="PRO_ID" dataDxfId="44"/>
    <tableColumn id="12" xr3:uid="{4EDF1E73-4744-474F-8DFE-7F72FB05613C}" name="EPD_ID" dataDxfId="43"/>
    <tableColumn id="1" xr3:uid="{1CF2E22E-1020-4F35-B31F-6350A15A5DE8}" name="SOURCE" dataDxfId="42"/>
    <tableColumn id="27" xr3:uid="{07F74D5D-9130-4120-B02C-A11234427F46}" name="KBOB ID-Nr." dataDxfId="41"/>
    <tableColumn id="11" xr3:uid="{81FE7F31-5F54-40F9-B99E-827E048F7DB5}" name="EPD_DATE" dataDxfId="40"/>
    <tableColumn id="10" xr3:uid="{54D8BA04-0FEF-4C3B-9B14-59E8F982CD3F}" name="VALID_TO" dataDxfId="39"/>
    <tableColumn id="22" xr3:uid="{3D6FC370-B8A8-40C3-9FC8-791B178DDFDF}" name="COUNTRY" dataDxfId="38"/>
    <tableColumn id="4" xr3:uid="{25C7280F-4E3E-4E39-BDBB-DC06DF090C5B}" name="PRODUCT_NAME" dataDxfId="37"/>
    <tableColumn id="26" xr3:uid="{1053A7DD-B11F-4E75-92EC-BC0F866E90B4}" name="OEKOBAUDAT_ID" dataDxfId="36"/>
    <tableColumn id="25" xr3:uid="{295F99F8-E318-45C9-833E-F0B45A26471A}" name="MATERIAL_GROUP" dataDxfId="35"/>
    <tableColumn id="2" xr3:uid="{1326FCEF-D1EE-4F3A-BB8B-77CB4EC72B0C}" name="MATERIAL" dataDxfId="34"/>
    <tableColumn id="5" xr3:uid="{9B2A7F84-D968-4A00-B61F-23BB0661E7A3}" name="CEMENT" dataDxfId="33"/>
    <tableColumn id="6" xr3:uid="{2F6E5831-6238-4360-9CFD-ED23A193E761}" name="MECH_PROP" dataDxfId="32"/>
    <tableColumn id="13" xr3:uid="{50DAB01C-8AF5-4E0C-9904-54F70B81BC55}" name="DENSITY" dataDxfId="31"/>
    <tableColumn id="18" xr3:uid="{F799A4D4-9543-475F-989E-CFBA47249558}" name="EXPOSITIONSKLASSE" dataDxfId="30"/>
    <tableColumn id="17" xr3:uid="{ECCBC067-991C-4C60-942D-806BCD77B990}" name="GROESSTKORN" dataDxfId="29"/>
    <tableColumn id="16" xr3:uid="{05157B85-D5FB-4844-9B53-D8AB09BCE0D9}" name="CHLORIDGEHALT" dataDxfId="28"/>
    <tableColumn id="15" xr3:uid="{9F53CF50-7148-405A-9295-1F0C3C45645A}" name="KONSISTENZKLASSE" dataDxfId="27"/>
    <tableColumn id="7" xr3:uid="{E23232F6-E86E-4AD2-8257-F30C0D1F7368}" name="Total_GWP" dataDxfId="26"/>
    <tableColumn id="20" xr3:uid="{0A9001B4-3AB4-4C58-B125-0B2AA4DB2681}" name="A1toA3_GWP" dataDxfId="25">
      <calculatedColumnFormula>119+10.9+238</calculatedColumnFormula>
    </tableColumn>
    <tableColumn id="21" xr3:uid="{2799394A-C481-45CE-B194-AAABAB0AED38}" name="C1toC4_GWP" dataDxfId="24">
      <calculatedColumnFormula>51.1+26+2.64+12.6</calculatedColumnFormula>
    </tableColumn>
    <tableColumn id="19" xr3:uid="{70561D70-9D02-4E93-A395-229DA8696DDA}" name="ValidEPD" dataDxfId="23">
      <calculatedColumnFormula>IF(OR($D2="Ecoinvent",$D2="Betonsortenrechner",$D2="KBOB",$T2&lt;=0),0,1)</calculatedColumnFormula>
    </tableColumn>
    <tableColumn id="29" xr3:uid="{92D55BC7-F55B-406A-B127-69EC2F0A8B77}" name="noch gültig" dataDxfId="22">
      <calculatedColumnFormula>IF(Table2[[#This Row],[VALID_TO]]&gt;=TODAY(), 1, 0)</calculatedColumnFormula>
    </tableColumn>
    <tableColumn id="3" xr3:uid="{DB90AC0A-8933-4040-BADE-E6EE11AC8BD7}" name="Statistik" dataDxfId="21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0"/>
    <tableColumn id="24" xr3:uid="{5321A0E1-043C-4E95-A6DA-41830364B2BC}" name="Anmerkung" dataDxfId="19"/>
    <tableColumn id="23" xr3:uid="{61456234-34E8-4222-B2D6-9DDA8E83B081}" name="Spalte 1" dataDxfId="18"/>
    <tableColumn id="28" xr3:uid="{D1FC9AF8-A0AE-CE49-8F27-4BB569415BF3}" name="T_construction" dataDxfId="1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9" totalsRowShown="0" headerRowDxfId="16" dataDxfId="14" headerRowBorderDxfId="15" tableBorderDxfId="13" totalsRowBorderDxfId="12">
  <autoFilter ref="A1:J9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69298654-E280-9D4B-9717-7904FADC15B5}" name="phi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7" totalsRowShown="0" headerRowDxfId="58" dataDxfId="56" headerRowBorderDxfId="57" tableBorderDxfId="55" totalsRowBorderDxfId="54">
  <autoFilter ref="A1:F7" xr:uid="{1CD264FD-E2C0-E94F-B387-736226CC982D}"/>
  <tableColumns count="6">
    <tableColumn id="1" xr3:uid="{6590463D-C242-4C4D-AA1F-6FA1F0D35E6F}" name="mat_ID" dataDxfId="53"/>
    <tableColumn id="2" xr3:uid="{603BAED4-55F2-D040-9D73-1611C1564A84}" name="name" dataDxfId="52"/>
    <tableColumn id="3" xr3:uid="{D6CC67C0-1ACA-D446-A6F3-00BCC3AC8DAC}" name="d" dataDxfId="51"/>
    <tableColumn id="4" xr3:uid="{3D62C7FF-3D7F-B245-A874-3A95DF0C49D2}" name="K_ser" dataDxfId="50"/>
    <tableColumn id="5" xr3:uid="{0C35052C-7630-EC48-BB52-4928EDE8D2AC}" name="Cost" dataDxfId="49"/>
    <tableColumn id="6" xr3:uid="{5101DCF1-1E94-3949-9F50-D0C3653EA4AB}" name="T_construction" dataDxfId="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abSelected="1" topLeftCell="A55" zoomScale="50" zoomScaleNormal="100" workbookViewId="0">
      <selection activeCell="O122" sqref="O122:O130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0" width="10.6640625" customWidth="1"/>
    <col min="11" max="11" width="24" customWidth="1"/>
    <col min="12" max="12" width="35" style="51" customWidth="1"/>
    <col min="13" max="13" width="10.6640625" customWidth="1"/>
    <col min="14" max="14" width="21.83203125" customWidth="1"/>
    <col min="15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522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21">
        <v>2400</v>
      </c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21">
        <v>2400</v>
      </c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21">
        <v>2400</v>
      </c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21">
        <v>2400</v>
      </c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21">
        <v>2400</v>
      </c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212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13">
        <v>206</v>
      </c>
      <c r="AA37" s="13"/>
      <c r="AB37" s="214"/>
      <c r="AC37" s="215">
        <v>0.4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0</v>
      </c>
      <c r="X53" s="198">
        <f ca="1">IF(Table2[[#This Row],[VALID_TO]]&gt;=TODAY(), 1, 0)</f>
        <v>0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0</v>
      </c>
      <c r="X54" s="198">
        <f ca="1">IF(Table2[[#This Row],[VALID_TO]]&gt;=TODAY(), 1, 0)</f>
        <v>0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212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16">
        <f>2.01*Table2[[#This Row],[DENSITY]]</f>
        <v>15778.499999999998</v>
      </c>
      <c r="AA55" s="4"/>
      <c r="AB55" s="217"/>
      <c r="AC55" s="215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Row],[MATERIAL]]="Solid_structural_timber",1250,1750)</f>
        <v>1750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Row],[MATERIAL]]="Solid_structural_timber",1250,1750)</f>
        <v>1750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Row],[MATERIAL]]="Solid_structural_timber",1250,1750)</f>
        <v>1750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Row],[MATERIAL]]="Solid_structural_timber",1250,1750)</f>
        <v>1750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Row],[MATERIAL]]="Solid_structural_timber",1250,1750)</f>
        <v>1250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Row],[MATERIAL]]="Solid_structural_timber",1250,1750)</f>
        <v>1250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Row],[MATERIAL]]="Solid_structural_timber",1250,1750)</f>
        <v>1750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Row],[MATERIAL]]="Solid_structural_timber",1250,1750)</f>
        <v>1750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Row],[MATERIAL]]="Solid_structural_timber",1250,1750)</f>
        <v>1750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Row],[MATERIAL]]="Solid_structural_timber",1250,1750)</f>
        <v>1750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Row],[MATERIAL]]="Solid_structural_timber",1250,1750)</f>
        <v>1250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Row],[MATERIAL]]="Solid_structural_timber",1250,1750)</f>
        <v>1750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Row],[MATERIAL]]="Solid_structural_timber",1250,1750)</f>
        <v>1750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Row],[MATERIAL]]="Solid_structural_timber",1250,1750)</f>
        <v>1750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Row],[MATERIAL]]="Solid_structural_timber",1250,1750)</f>
        <v>1750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Row],[MATERIAL]]="Solid_structural_timber",1250,1750)</f>
        <v>1750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Row],[MATERIAL]]="Solid_structural_timber",1250,1750)</f>
        <v>1750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Row],[MATERIAL]]="Solid_structural_timber",1250,1750)</f>
        <v>1750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Row],[MATERIAL]]="Solid_structural_timber",1250,1750)</f>
        <v>1250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Row],[MATERIAL]]="Solid_structural_timber",1250,1750)</f>
        <v>1750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Row],[MATERIAL]]="Solid_structural_timber",1250,1750)</f>
        <v>1750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Row],[MATERIAL]]="Solid_structural_timber",1250,1750)</f>
        <v>1750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Row],[MATERIAL]]="Solid_structural_timber",1250,1750)</f>
        <v>1750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Row],[MATERIAL]]="Solid_structural_timber",1250,1750)</f>
        <v>1750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Row],[MATERIAL]]="Solid_structural_timber",1250,1750)</f>
        <v>1750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Row],[MATERIAL]]="Solid_structural_timber",1250,1750)</f>
        <v>1750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Row],[MATERIAL]]="Solid_structural_timber",1250,1750)</f>
        <v>1750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Row],[MATERIAL]]="Solid_structural_timber",1250,1750)</f>
        <v>1750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Row],[MATERIAL]]="Solid_structural_timber",1250,1750)</f>
        <v>1750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Row],[MATERIAL]]="Solid_structural_timber",1250,1750)</f>
        <v>1750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Row],[MATERIAL]]="Solid_structural_timber",1250,1750)</f>
        <v>1750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Row],[MATERIAL]]="Solid_structural_timber",1250,1750)</f>
        <v>1750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Row],[MATERIAL]]="Solid_structural_timber",1250,1750)</f>
        <v>1750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Row],[MATERIAL]]="Solid_structural_timber",1250,1750)</f>
        <v>1750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Row],[MATERIAL]]="Solid_structural_timber",1250,1750)</f>
        <v>1750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Row],[MATERIAL]]="Solid_structural_timber",1250,1750)</f>
        <v>1750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Row],[MATERIAL]]="Solid_structural_timber",1250,1750)</f>
        <v>1750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Row],[MATERIAL]]="Solid_structural_timber",1250,1750)</f>
        <v>1750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Row],[MATERIAL]]="Solid_structural_timber",1250,1750)</f>
        <v>1750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Row],[MATERIAL]]="Solid_structural_timber",1250,1750)</f>
        <v>1750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Row],[MATERIAL]]="Solid_structural_timber",1250,1750)</f>
        <v>1750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Row],[MATERIAL]]="Solid_structural_timber",1250,1750)</f>
        <v>1250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Row],[MATERIAL]]="Solid_structural_timber",1250,1750)</f>
        <v>1250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Row],[MATERIAL]]="Solid_structural_timber",1250,1750)</f>
        <v>1250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0</v>
      </c>
      <c r="X100" s="198">
        <f ca="1">IF(Table2[[#This Row],[VALID_TO]]&gt;=TODAY(), 1, 0)</f>
        <v>0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0</v>
      </c>
      <c r="Z100" s="206">
        <f>IF(Table2[[#This Row],[MATERIAL]]="Solid_structural_timber",1250,1750)</f>
        <v>1250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Row],[MATERIAL]]="Solid_structural_timber",1250,1750)</f>
        <v>1250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218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Row],[MATERIAL]]="Solid_structural_timber",1250,1750)</f>
        <v>1250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212">
        <f ca="1">IF(OR($D103="Ecoinvent",$D103="Betonsortenrechner",$D103="KBOB",$T103&lt;=0,Table2[[#This Row],[VALID_TO]]&lt;=TODAY()),0,1)</f>
        <v>0</v>
      </c>
      <c r="X103" s="199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13">
        <f>IF(Table2[[#This Row],[MATERIAL]]="Solid_structural_timber",1250,1750)</f>
        <v>1750</v>
      </c>
      <c r="AA103" s="4" t="s">
        <v>467</v>
      </c>
      <c r="AB103" s="37"/>
      <c r="AC103" s="215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219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218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218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212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16">
        <f>17*Table2[[#This Row],[DENSITY]]</f>
        <v>133450</v>
      </c>
      <c r="AA121" s="4" t="s">
        <v>493</v>
      </c>
      <c r="AB121" s="37"/>
      <c r="AC121" s="215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 t="s">
        <v>523</v>
      </c>
      <c r="O122" s="222">
        <v>7850</v>
      </c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 t="s">
        <v>523</v>
      </c>
      <c r="O123" s="222">
        <v>7850</v>
      </c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 t="s">
        <v>523</v>
      </c>
      <c r="O124" s="222">
        <v>7850</v>
      </c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 t="s">
        <v>523</v>
      </c>
      <c r="O125" s="222">
        <v>7850</v>
      </c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 t="s">
        <v>523</v>
      </c>
      <c r="O126" s="222">
        <v>7850</v>
      </c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 t="s">
        <v>523</v>
      </c>
      <c r="O127" s="222">
        <v>7850</v>
      </c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 t="s">
        <v>523</v>
      </c>
      <c r="O128" s="222">
        <v>7850</v>
      </c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 t="s">
        <v>523</v>
      </c>
      <c r="O129" s="222">
        <v>7850</v>
      </c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 t="s">
        <v>523</v>
      </c>
      <c r="O130" s="223">
        <v>7850</v>
      </c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212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20">
        <f t="shared" si="3"/>
        <v>78500</v>
      </c>
      <c r="AA130" s="4"/>
      <c r="AB130" s="37"/>
      <c r="AC130" s="215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9"/>
  <sheetViews>
    <sheetView zoomScale="106" workbookViewId="0">
      <selection activeCell="G8" sqref="G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>
        <v>78500</v>
      </c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  <row r="9" spans="1:10" x14ac:dyDescent="0.2">
      <c r="A9" s="62">
        <v>8</v>
      </c>
      <c r="B9" s="62" t="s">
        <v>523</v>
      </c>
      <c r="C9" s="62"/>
      <c r="D9" s="62">
        <v>1860000000</v>
      </c>
      <c r="E9" s="62"/>
      <c r="F9" s="62"/>
      <c r="G9" s="211">
        <v>195000000000</v>
      </c>
      <c r="H9" s="62">
        <v>78500</v>
      </c>
      <c r="I9" s="62"/>
      <c r="J9" s="62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workbookViewId="0">
      <selection activeCell="F24" sqref="F24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520</v>
      </c>
      <c r="I1" s="204" t="s">
        <v>521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0.3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0.15</v>
      </c>
    </row>
    <row r="4" spans="1:9" x14ac:dyDescent="0.2">
      <c r="A4" s="52"/>
      <c r="B4" s="52" t="s">
        <v>402</v>
      </c>
      <c r="C4" s="52">
        <v>3.0000000000000001E-3</v>
      </c>
      <c r="D4" s="52">
        <v>6000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0.1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0.1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0.1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workbookViewId="0">
      <selection activeCell="F12" sqref="E12:F12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  <col min="6" max="7" width="12.1640625" bestFit="1" customWidth="1"/>
  </cols>
  <sheetData>
    <row r="1" spans="1:6" x14ac:dyDescent="0.2">
      <c r="A1" s="61" t="s">
        <v>415</v>
      </c>
      <c r="B1" s="61" t="s">
        <v>407</v>
      </c>
      <c r="C1" s="61" t="s">
        <v>519</v>
      </c>
      <c r="D1" s="61" t="s">
        <v>518</v>
      </c>
      <c r="E1" s="61" t="s">
        <v>127</v>
      </c>
      <c r="F1" s="61" t="s">
        <v>522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5</v>
      </c>
      <c r="F2" s="203">
        <v>0.01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5.5</v>
      </c>
      <c r="F3" s="56">
        <v>0.01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6</v>
      </c>
      <c r="F4" s="56">
        <v>1.4999999999999999E-2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6.5</v>
      </c>
      <c r="F5" s="56">
        <v>1.4999999999999999E-2</v>
      </c>
    </row>
    <row r="6" spans="1:6" x14ac:dyDescent="0.2">
      <c r="A6" s="56">
        <v>5</v>
      </c>
      <c r="B6" s="56" t="s">
        <v>525</v>
      </c>
      <c r="C6" s="56"/>
      <c r="D6" s="56">
        <v>1000000000</v>
      </c>
      <c r="E6" s="62">
        <v>30</v>
      </c>
      <c r="F6" s="62">
        <v>0.01</v>
      </c>
    </row>
    <row r="7" spans="1:6" x14ac:dyDescent="0.2">
      <c r="A7" s="62">
        <v>6</v>
      </c>
      <c r="B7" s="62" t="s">
        <v>524</v>
      </c>
      <c r="C7" s="62"/>
      <c r="D7" s="62">
        <f>D6*1.5</f>
        <v>1500000000</v>
      </c>
      <c r="E7" s="62">
        <v>30</v>
      </c>
      <c r="F7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2026-06-10T07:20:48Z</dcterms:modified>
</cp:coreProperties>
</file>