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5CD6F826-6D3D-4644-8BD7-775F45A8B808}" xr6:coauthVersionLast="47" xr6:coauthVersionMax="47" xr10:uidLastSave="{00000000-0000-0000-0000-000000000000}"/>
  <bookViews>
    <workbookView xWindow="13980" yWindow="840" windowWidth="15420" windowHeight="16700" activeTab="3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<sst xmlns="http://schemas.openxmlformats.org/spreadsheetml/2006/main" count="1891" uniqueCount="521">
  <si>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</si>
  <si>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</si>
  <si>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</si>
  <si>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</si>
  <si>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</si>
  <si>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</si>
  <si>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</si>
  <si>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</si>
  <si>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</si>
  <si>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</si>
  <si>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</si>
  <si>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</si>
  <si>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</si>
  <si>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</si>
  <si>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</si>
  <si>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</si>
  <si>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</si>
  <si>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</si>
  <si>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</si>
  <si>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</si>
  <si>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</si>
  <si>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</si>
  <si>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</si>
  <si>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</si>
  <si>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</si>
  <si>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</si>
  <si>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</si>
  <si>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</si>
  <si>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</si>
  <si>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</si>
  <si>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</si>
  <si>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</si>
  <si>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</si>
  <si>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</si>
  <si>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</si>
  <si>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</si>
  <si>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</si>
  <si>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</si>
  <si>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</si>
  <si>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</si>
  <si>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</si>
  <si>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</si>
  <si>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</si>
  <si>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</si>
  <si>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</si>
  <si>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</si>
  <si>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</si>
  <si>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</si>
  <si>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</si>
  <si>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</si>
  <si>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</si>
  <si>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</si>
  <si>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</si>
  <si>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</si>
  <si>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</si>
  <si>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</si>
  <si>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</si>
  <si>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</si>
  <si>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</si>
  <si>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</si>
  <si>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</si>
  <si>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</si>
  <si>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</si>
  <si>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</si>
  <si>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</si>
  <si>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</si>
  <si>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</si>
  <si>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</si>
  <si>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</si>
  <si>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</si>
  <si>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</si>
  <si>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</si>
  <si>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</si>
  <si>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</si>
  <si>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</si>
  <si>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</si>
  <si>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</si>
  <si>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</si>
  <si>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</si>
  <si>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</si>
  <si>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</si>
  <si>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</si>
  <si>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</si>
  <si>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</si>
  <si>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</si>
  <si>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</si>
  <si>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</si>
  <si>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</si>
  <si>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</si>
  <si>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</si>
  <si>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</si>
  <si>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</si>
  <si>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</si>
  <si>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</si>
  <si>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</si>
  <si>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</si>
  <si>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</si>
  <si>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</si>
  <si>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</si>
  <si>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</si>
  <si>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</si>
  <si>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</si>
  <si>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</si>
  <si>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</si>
  <si>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</si>
  <si>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</si>
  <si>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</si>
  <si>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</si>
  <si>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</si>
  <si>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</si>
  <si>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</si>
  <si>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</si>
  <si>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</si>
  <si>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</si>
  <si>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</si>
  <si>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</si>
  <si>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</si>
  <si>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</si>
  <si>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</si>
  <si>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</si>
  <si>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</si>
  <si>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</si>
  <si>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</si>
  <si>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</si>
  <si>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</si>
  <si>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</si>
  <si>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</si>
  <si>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</si>
  <si>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</si>
  <si>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</si>
  <si>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</si>
  <si>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</si>
  <si>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</si>
  <si>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</si>
  <si>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</si>
  <si>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</si>
  <si>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</si>
  <si>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</si>
  <si>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</si>
  <si>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</si>
  <si>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</si>
  <si>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</si>
  <si>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</si>
  <si>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</si>
  <si>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</si>
  <si>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</si>
  <si>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</si>
  <si>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</si>
  <si>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</si>
  <si>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</si>
  <si>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</si>
  <si>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</si>
  <si>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</si>
  <si>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</si>
  <si>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</si>
  <si>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</si>
  <si>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</si>
  <si>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</si>
  <si>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</si>
  <si>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</si>
  <si>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</si>
  <si>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</si>
  <si>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</si>
  <si>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</si>
  <si>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</si>
  <si>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</si>
  <si>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</si>
  <si>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</si>
  <si>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</si>
  <si>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</si>
  <si>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</si>
  <si>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</si>
  <si>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</si>
  <si>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</si>
  <si>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</si>
  <si>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</si>
  <si>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</si>
  <si>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</si>
  <si>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</si>
  <si>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</si>
  <si>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</si>
  <si>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</si>
  <si>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</si>
  <si>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</si>
  <si>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</si>
  <si>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</si>
  <si>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</si>
  <si>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</si>
  <si>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</si>
  <si>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</si>
  <si>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</si>
  <si>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</si>
  <si>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</si>
  <si>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</si>
  <si>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</si>
  <si>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</si>
  <si>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</si>
  <si>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</si>
  <si>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</si>
  <si>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</si>
  <si>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</si>
  <si>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</si>
  <si>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</si>
  <si>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</si>
  <si>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</si>
  <si>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</si>
  <si>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</si>
  <si>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</si>
  <si>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</si>
  <si>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</si>
  <si>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</si>
  <si>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</si>
  <si>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</si>
  <si>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</si>
  <si>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</si>
  <si>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</si>
  <si>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</si>
  <si>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</si>
  <si>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</si>
  <si>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</si>
  <si>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</si>
  <si>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</si>
  <si>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</si>
  <si>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</si>
  <si>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</si>
  <si>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</si>
  <si>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</si>
  <si>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</si>
  <si>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</si>
  <si>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</si>
  <si>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</si>
  <si>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</si>
  <si>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</si>
  <si>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</si>
  <si>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</si>
  <si>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</si>
  <si>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</si>
  <si>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</si>
  <si>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</si>
  <si>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</si>
  <si>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</si>
  <si>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</si>
  <si>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</si>
  <si>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</si>
  <si>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</si>
  <si>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</si>
  <si>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</si>
  <si>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</si>
  <si>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</si>
  <si>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</si>
  <si>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</si>
  <si>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</si>
  <si>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</si>
  <si>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</si>
  <si>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</si>
  <si>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</si>
  <si>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</si>
  <si>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</si>
  <si>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</si>
  <si>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</si>
  <si>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</si>
  <si>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</si>
  <si>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</si>
  <si>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</si>
  <si>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</si>
  <si>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</si>
  <si>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</si>
  <si>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</si>
  <si>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</si>
  <si>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</si>
  <si>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</si>
  <si>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</si>
  <si>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</si>
  <si>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</si>
  <si>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</si>
  <si>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</si>
  <si>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</si>
  <si>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</si>
  <si>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</si>
  <si>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</si>
  <si>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</si>
  <si>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</si>
  <si>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</si>
  <si>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</si>
  <si>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</si>
  <si>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</si>
  <si>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</si>
  <si>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</si>
  <si>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</si>
  <si>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</si>
  <si>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</si>
  <si>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</si>
  <si>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</si>
  <si>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</si>
  <si>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</si>
  <si>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</si>
  <si>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</si>
  <si>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</si>
  <si>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</si>
  <si>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</si>
  <si>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</si>
  <si>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</si>
  <si>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</si>
  <si>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</si>
  <si>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</si>
  <si>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</si>
  <si>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</si>
  <si>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</si>
  <si>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</si>
  <si>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</si>
  <si>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</si>
  <si>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</si>
  <si>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</si>
  <si>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</si>
  <si>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</si>
  <si>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</si>
  <si>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</si>
  <si>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</si>
  <si>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</si>
  <si>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</si>
  <si>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</si>
  <si>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</si>
  <si>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</si>
  <si>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</si>
  <si>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</si>
  <si>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</si>
  <si>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</si>
  <si>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</si>
  <si>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</si>
  <si>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</si>
  <si>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</si>
  <si>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</si>
  <si>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</si>
  <si>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</si>
  <si>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</si>
  <si>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</si>
  <si>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</si>
  <si>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</si>
  <si>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</si>
  <si>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</si>
  <si>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</si>
  <si>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</si>
  <si>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</si>
  <si>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</si>
  <si>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</si>
  <si>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</si>
  <si>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</si>
  <si>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</si>
  <si>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</si>
  <si>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</si>
  <si>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</si>
  <si>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</si>
  <si>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</si>
  <si>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</si>
  <si>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</si>
  <si>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</si>
  <si>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</si>
  <si>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</si>
  <si>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</si>
  <si>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</si>
  <si>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</si>
  <si>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</si>
  <si>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</si>
  <si>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</si>
  <si>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</si>
  <si>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</si>
  <si>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</si>
  <si>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</si>
  <si>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</si>
  <si>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</si>
  <si>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</si>
  <si>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</si>
  <si>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</si>
  <si>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</si>
  <si>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</si>
  <si>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</si>
  <si>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</si>
  <si>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</si>
  <si>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</si>
  <si>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</si>
  <si>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</si>
  <si>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</si>
  <si>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</si>
  <si>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</si>
  <si>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</si>
  <si>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</si>
  <si>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</si>
  <si>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</si>
  <si>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</si>
  <si>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</si>
  <si>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</si>
  <si>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</si>
  <si>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</si>
  <si>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</si>
  <si>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</si>
  <si>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</si>
  <si>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</si>
  <si>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</si>
  <si>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</si>
  <si>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</si>
  <si>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</si>
  <si>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</si>
  <si>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</si>
  <si>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</si>
  <si>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</si>
  <si>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</si>
  <si>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</si>
  <si>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</si>
  <si>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</si>
  <si>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</si>
  <si>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</si>
  <si>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</si>
  <si>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</si>
  <si>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</si>
  <si>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</si>
  <si>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</si>
  <si>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</si>
  <si>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</si>
  <si>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</si>
  <si>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</si>
  <si>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</si>
  <si>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</si>
  <si>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</si>
  <si>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</si>
  <si>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</si>
  <si>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</si>
  <si>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</si>
  <si>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</si>
  <si>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</si>
  <si>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</si>
  <si>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</si>
  <si>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</si>
  <si>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</si>
  <si>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</si>
  <si>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</si>
  <si>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</si>
  <si>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</si>
  <si>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</si>
  <si>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</si>
  <si>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</si>
  <si>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</si>
  <si>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</si>
  <si>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</si>
  <si>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</si>
  <si>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</si>
  <si>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</si>
  <si>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</si>
  <si>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</si>
  <si>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</si>
  <si>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</si>
  <si>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</si>
  <si>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</si>
  <si>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</si>
  <si>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</si>
  <si>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</si>
  <si>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</si>
  <si>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</si>
  <si>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</si>
  <si>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</si>
  <si>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</si>
  <si>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</si>
  <si>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</si>
  <si>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</si>
  <si>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</si>
  <si>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</si>
  <si>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</si>
  <si>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</si>
  <si>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</si>
  <si>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</si>
  <si>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</si>
  <si>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</si>
  <si>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</si>
  <si>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</si>
  <si>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</si>
  <si>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</si>
  <si>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</si>
  <si>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</si>
  <si>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</si>
  <si>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</si>
  <si>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</si>
  <si>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</si>
  <si>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</si>
  <si>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</si>
  <si>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</si>
  <si>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</si>
  <si>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</si>
  <si>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</si>
  <si>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</si>
  <si>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</si>
  <si>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</si>
  <si>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</si>
  <si>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</si>
  <si>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</si>
  <si>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</si>
  <si>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</si>
  <si>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</si>
  <si>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</si>
  <si>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</si>
  <si>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</si>
  <si>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</si>
  <si>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</si>
  <si>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</si>
  <si>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</si>
  <si>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</si>
  <si>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</si>
  <si>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</si>
  <si>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</si>
  <si>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</si>
  <si>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</si>
  <si>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</si>
  <si>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</si>
  <si>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</si>
  <si>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</si>
  <si>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</si>
  <si>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</si>
  <si>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</si>
  <si>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</si>
  <si>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d [m]</t>
  </si>
  <si>
    <t>phi</t>
  </si>
  <si>
    <t>K_ser [N/m]</t>
  </si>
  <si>
    <t>kerve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</si>
</sst>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  <xf numFmtId="0" fontId="0" fillId="0" borderId="14" xfId="0" applyBorder="1"/>
  </cellXfs>
  <cellStyles count="2">
    <cellStyle name="Normal" xfId="0" builtinId="0"/>
    <cellStyle name="Standard 2" xfId="1" xr:uid="{FDCFE4BD-E849-456C-8E2E-B78D9BD993F6}"/>
  </cellStyles>
  <dxfs count="56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40" dataDxfId="39">
  <autoFilter ref="A1:AB132" xr:uid="{690E7B34-75E3-43BA-8CDD-44A4EFCCEFD5}"/>
  <tableColumns count="28">
    <tableColumn id="9" xr3:uid="{1DBBD25D-72F9-4A81-9CFA-500505E3628D}" name="ID" dataDxfId="38"/>
    <tableColumn id="14" xr3:uid="{6844A52F-C967-44C0-BF5C-160C47AB6E64}" name="PRO_ID" dataDxfId="37"/>
    <tableColumn id="12" xr3:uid="{4EDF1E73-4744-474F-8DFE-7F72FB05613C}" name="EPD_ID" dataDxfId="36"/>
    <tableColumn id="1" xr3:uid="{1CF2E22E-1020-4F35-B31F-6350A15A5DE8}" name="SOURCE" dataDxfId="35"/>
    <tableColumn id="27" xr3:uid="{07F74D5D-9130-4120-B02C-A11234427F46}" name="KBOB ID-Nr." dataDxfId="34"/>
    <tableColumn id="11" xr3:uid="{81FE7F31-5F54-40F9-B99E-827E048F7DB5}" name="EPD_DATE" dataDxfId="33"/>
    <tableColumn id="10" xr3:uid="{54D8BA04-0FEF-4C3B-9B14-59E8F982CD3F}" name="VALID_TO" dataDxfId="32"/>
    <tableColumn id="22" xr3:uid="{3D6FC370-B8A8-40C3-9FC8-791B178DDFDF}" name="COUNTRY" dataDxfId="31"/>
    <tableColumn id="4" xr3:uid="{25C7280F-4E3E-4E39-BDBB-DC06DF090C5B}" name="PRODUCT_NAME" dataDxfId="30"/>
    <tableColumn id="26" xr3:uid="{1053A7DD-B11F-4E75-92EC-BC0F866E90B4}" name="OEKOBAUDAT_ID" dataDxfId="29"/>
    <tableColumn id="25" xr3:uid="{295F99F8-E318-45C9-833E-F0B45A26471A}" name="MATERIAL_GROUP" dataDxfId="28"/>
    <tableColumn id="2" xr3:uid="{1326FCEF-D1EE-4F3A-BB8B-77CB4EC72B0C}" name="MATERIAL" dataDxfId="27"/>
    <tableColumn id="5" xr3:uid="{9B2A7F84-D968-4A00-B61F-23BB0661E7A3}" name="CEMENT" dataDxfId="26"/>
    <tableColumn id="6" xr3:uid="{2F6E5831-6238-4360-9CFD-ED23A193E761}" name="MECH_PROP" dataDxfId="25"/>
    <tableColumn id="13" xr3:uid="{50DAB01C-8AF5-4E0C-9904-54F70B81BC55}" name="DENSITY" dataDxfId="24"/>
    <tableColumn id="18" xr3:uid="{F799A4D4-9543-475F-989E-CFBA47249558}" name="EXPOSITIONSKLASSE" dataDxfId="23"/>
    <tableColumn id="17" xr3:uid="{ECCBC067-991C-4C60-942D-806BCD77B990}" name="GROESSTKORN" dataDxfId="22"/>
    <tableColumn id="16" xr3:uid="{05157B85-D5FB-4844-9B53-D8AB09BCE0D9}" name="CHLORIDGEHALT" dataDxfId="21"/>
    <tableColumn id="15" xr3:uid="{9F53CF50-7148-405A-9295-1F0C3C45645A}" name="KONSISTENZKLASSE" dataDxfId="20"/>
    <tableColumn id="7" xr3:uid="{E23232F6-E86E-4AD2-8257-F30C0D1F7368}" name="Total_GWP" dataDxfId="19"/>
    <tableColumn id="20" xr3:uid="{0A9001B4-3AB4-4C58-B125-0B2AA4DB2681}" name="A1toA3_GWP" dataDxfId="18">
      <calculatedColumnFormula>119+10.9+238</calculatedColumnFormula>
    </tableColumn>
    <tableColumn id="21" xr3:uid="{2799394A-C481-45CE-B194-AAABAB0AED38}" name="C1toC4_GWP" dataDxfId="17">
      <calculatedColumnFormula>51.1+26+2.64+12.6</calculatedColumnFormula>
    </tableColumn>
    <tableColumn id="19" xr3:uid="{70561D70-9D02-4E93-A395-229DA8696DDA}" name="ValidEPD" dataDxfId="16">
      <calculatedColumnFormula>IF(OR($D2="Ecoinvent",$D2="Betonsortenrechner",$D2="KBOB",$T2&lt;=0),0,1)</calculatedColumnFormula>
    </tableColumn>
    <tableColumn id="29" xr3:uid="{92D55BC7-F55B-406A-B127-69EC2F0A8B77}" name="noch gültig" dataDxfId="15">
      <calculatedColumnFormula>IF(Table2[[#This Row],[VALID_TO]]&gt;=TODAY(), 1, 0)</calculatedColumnFormula>
    </tableColumn>
    <tableColumn id="3" xr3:uid="{DB90AC0A-8933-4040-BADE-E6EE11AC8BD7}" name="Statistik" dataDxfId="14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3"/>
    <tableColumn id="24" xr3:uid="{5321A0E1-043C-4E95-A6DA-41830364B2BC}" name="Anmerkung" dataDxfId="12"/>
    <tableColumn id="23" xr3:uid="{61456234-34E8-4222-B2D6-9DDA8E83B081}" name="Spalte 1" dataDxfId="11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55" dataDxfId="53" headerRowBorderDxfId="54" tableBorderDxfId="52" totalsRowBorderDxfId="51">
  <autoFilter ref="A1:J8" xr:uid="{188FAA96-3B75-4826-B66B-A81D5BCFC670}"/>
  <tableColumns count="10">
    <tableColumn id="1" xr3:uid="{AF3C694B-2C8A-40EE-B8BB-2EC9EB81A87A}" name="mat_ID" dataDxfId="50"/>
    <tableColumn id="2" xr3:uid="{B447FBC2-C455-4332-8F47-150B112A57E0}" name="name" dataDxfId="49"/>
    <tableColumn id="3" xr3:uid="{BAFC6B47-7268-46CC-A881-892C9A1F4334}" name="strength_comp" dataDxfId="48"/>
    <tableColumn id="4" xr3:uid="{6FC4C8EB-7581-4E67-81CE-C724161F0838}" name="strength_tens" dataDxfId="47"/>
    <tableColumn id="5" xr3:uid="{A875970E-61A9-43B5-9361-7616A74C3147}" name="strength_bend" dataDxfId="46"/>
    <tableColumn id="6" xr3:uid="{EF5B3A69-DD70-420A-88FF-4FE8772A2E14}" name="strength_shea" dataDxfId="45"/>
    <tableColumn id="7" xr3:uid="{ED461A80-736C-42BD-81BC-C5C0C80FF34C}" name="E_modulus" dataDxfId="44"/>
    <tableColumn id="8" xr3:uid="{68E47481-7028-4427-B126-2A046FC46737}" name="density_load" dataDxfId="43"/>
    <tableColumn id="9" xr3:uid="{7AB34570-2BD4-417F-B141-70612577C7D6}" name="burn_rate" dataDxfId="42"/>
    <tableColumn id="10" xr3:uid="{69298654-E280-9D4B-9717-7904FADC15B5}" name="phi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10" dataDxfId="8" headerRowBorderDxfId="9" tableBorderDxfId="7" totalsRowBorderDxfId="6">
  <autoFilter ref="A1:D6" xr:uid="{1CD264FD-E2C0-E94F-B387-736226CC982D}"/>
  <tableColumns count="4">
    <tableColumn id="1" xr3:uid="{6590463D-C242-4C4D-AA1F-6FA1F0D35E6F}" name="mat_ID" dataDxfId="5"/>
    <tableColumn id="2" xr3:uid="{603BAED4-55F2-D040-9D73-1611C1564A84}" name="name" dataDxfId="4"/>
    <tableColumn id="3" xr3:uid="{D6CC67C0-1ACA-D446-A6F3-00BCC3AC8DAC}" name="d [m]" dataDxfId="3"/>
    <tableColumn id="4" xr3:uid="{3D62C7FF-3D7F-B245-A874-3A95DF0C49D2}" name="K_ser [N/m]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zoomScale="94" zoomScaleNormal="100" workbookViewId="0">
      <selection activeCell="Z1" sqref="Z1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1</v>
      </c>
      <c r="X52" s="207">
        <f ca="1">IF(Table2[[#This Row],[VALID_TO]]&gt;=TODAY(), 1, 0)</f>
        <v>1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1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1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topLeftCell="H1" workbookViewId="0">
      <selection activeCell="H17" sqref="H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518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12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workbookViewId="0">
      <selection activeCell="G12" sqref="G12"/>
    </sheetView>
  </sheetViews>
  <sheetFormatPr baseColWidth="10" defaultColWidth="10.6640625" defaultRowHeight="15" x14ac:dyDescent="0.2"/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tabSelected="1" workbookViewId="0">
      <selection activeCell="B12" sqref="B12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517</v>
      </c>
      <c r="D1" s="61" t="s">
        <v>519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</v>
      </c>
    </row>
    <row r="6" spans="1:4" x14ac:dyDescent="0.2">
      <c r="A6" s="56">
        <v>5</v>
      </c>
      <c r="B6" s="56" t="s">
        <v>520</v>
      </c>
      <c r="C6" s="56"/>
      <c r="D6" s="56">
        <v>1000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2026-03-12T13:10:47Z</dcterms:modified>
</cp:coreProperties>
</file>