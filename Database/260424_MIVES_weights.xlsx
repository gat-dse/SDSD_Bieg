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0A3BBD42-D33F-8143-872B-66B956AF1210}" xr6:coauthVersionLast="47" xr6:coauthVersionMax="47" xr10:uidLastSave="{00000000-0000-0000-0000-000000000000}"/>
  <bookViews>
    <workbookView xWindow="9400" yWindow="-16680" windowWidth="24220" windowHeight="15940" activeTab="1" xr2:uid="{C87B0895-C1AD-874F-B04F-2F3A4E3CB4D6}"/>
  </bookViews>
  <sheets>
    <sheet name="Balanced" sheetId="1" r:id="rId1"/>
    <sheet name="Inpu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3" i="2"/>
  <c r="D6" i="1" l="1"/>
  <c r="B6" i="1"/>
  <c r="B5" i="1"/>
  <c r="G5" i="1" s="1"/>
  <c r="B3" i="1"/>
  <c r="G3" i="1" s="1"/>
  <c r="G4" i="1"/>
  <c r="G7" i="1"/>
  <c r="G2" i="1"/>
  <c r="G6" i="1" l="1"/>
</calcChain>
</file>

<file path=xl/sharedStrings.xml><?xml version="1.0" encoding="utf-8"?>
<sst xmlns="http://schemas.openxmlformats.org/spreadsheetml/2006/main" count="83" uniqueCount="58">
  <si>
    <t>Requirement</t>
  </si>
  <si>
    <t>WR (%)</t>
  </si>
  <si>
    <t>Criterion</t>
  </si>
  <si>
    <t>WC (%)</t>
  </si>
  <si>
    <t>Indicator</t>
  </si>
  <si>
    <t>WI (%)</t>
  </si>
  <si>
    <t>Wt (%)</t>
  </si>
  <si>
    <t>C1 Construction cost</t>
  </si>
  <si>
    <t>I1 Direct cost</t>
  </si>
  <si>
    <t>C2 Construction time</t>
  </si>
  <si>
    <t>I2 Time for construction</t>
  </si>
  <si>
    <t>C3 Emissions</t>
  </si>
  <si>
    <t>I3 GWP</t>
  </si>
  <si>
    <t>C4 Indirect influences</t>
  </si>
  <si>
    <t>I4 htot</t>
  </si>
  <si>
    <t>R1_Economic</t>
  </si>
  <si>
    <t>R2_Environmental</t>
  </si>
  <si>
    <t>R3_Functionality</t>
  </si>
  <si>
    <t>I6 h_installation</t>
  </si>
  <si>
    <t>C5 Installation</t>
  </si>
  <si>
    <t>I5 mtot</t>
  </si>
  <si>
    <t>'241.661.112</t>
  </si>
  <si>
    <t xml:space="preserve">Beton für Deckenplatten liefern, einbauen und verdichten. Beton Typ NPK A. Horizontal oder einseitig geneigt bis % 5,0. Plattendicke m 0,21 bis 0,30. </t>
  </si>
  <si>
    <t>NPK Position</t>
  </si>
  <si>
    <t>'364.921.111</t>
  </si>
  <si>
    <t>Beschwerungs- und Schutzschichten. Lose aufbringen. Rundkies gewaschen (Betonkies ungebrochen, gewaschen), Korngruppe 8/16. d mm 50.</t>
  </si>
  <si>
    <t>m2</t>
  </si>
  <si>
    <t>'335.531.114</t>
  </si>
  <si>
    <t>Geschossdecke aus Brettstapeln, Konstruktion, sagerohen Lamellen, h mm 240</t>
  </si>
  <si>
    <t>'661.611.113</t>
  </si>
  <si>
    <t>Zementestriche CT. Beanspruchskategorie A, Festigkeitsklasse C20 - F4, auf Trennschicht. d mm 60</t>
  </si>
  <si>
    <t>'661.433.114</t>
  </si>
  <si>
    <t>Trittschall-Dämmplatten aus expandiertem Polystyrol gewalkt EPS-T. Einlagig mit Randstreifen. Platten unbelegt, d mm 22/20</t>
  </si>
  <si>
    <t>m3</t>
  </si>
  <si>
    <t>'241.511.123</t>
  </si>
  <si>
    <t>Stabstähle. Stahl B500A, liefern und verlegen. BG 1 (1). d mm 16 bis 22.</t>
  </si>
  <si>
    <t>kg</t>
  </si>
  <si>
    <t>MATERIAL</t>
  </si>
  <si>
    <t xml:space="preserve">
ready_mixed_concrete</t>
  </si>
  <si>
    <t>Kies gebrochen</t>
  </si>
  <si>
    <t>Steinwolle</t>
  </si>
  <si>
    <t>Unteragsboden Zement, 85 mm</t>
  </si>
  <si>
    <t>steel_reinforcing_bar</t>
  </si>
  <si>
    <t>'241.261.301</t>
  </si>
  <si>
    <t>Schalungen für horizontale Deckenplatten-Untersichten. Typ 3-1 Plattendicke m 0.36 bis 0.45 Spriesshöhe m 3.51 - 5.50. Ohne Ueberhöhung. LE = m2</t>
  </si>
  <si>
    <t>Glue_laminated_timber</t>
  </si>
  <si>
    <t>Ann.</t>
  </si>
  <si>
    <t>Solid_structural_timber</t>
  </si>
  <si>
    <t>prestressing steel</t>
  </si>
  <si>
    <t>wh/m2</t>
  </si>
  <si>
    <t>wh/kg</t>
  </si>
  <si>
    <t>wh/m3</t>
  </si>
  <si>
    <t>logistics, propping, leveling, oiling, cleaning</t>
  </si>
  <si>
    <t>placing</t>
  </si>
  <si>
    <t>placing, stressing</t>
  </si>
  <si>
    <t>placing, vibrating, leveling, cleaning</t>
  </si>
  <si>
    <t>logistics, connections</t>
  </si>
  <si>
    <t>placing, leveling, cleaning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</si>
</sst>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0"/>
      <color theme="1"/>
      <name val="Aptos"/>
    </font>
    <font>
      <sz val="10"/>
      <color theme="1"/>
      <name val="Aptos Narrow"/>
      <family val="2"/>
      <scheme val="minor"/>
    </font>
    <font>
      <sz val="10"/>
      <color indexed="8"/>
      <name val="Arial Narrow"/>
      <family val="2"/>
    </font>
    <font>
      <sz val="10"/>
      <name val="Arial Narrow"/>
      <family val="2"/>
    </font>
    <font>
      <sz val="10"/>
      <color rgb="FF000000"/>
      <name val="Aptos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/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Border="1" applyAlignment="1">
      <alignment vertical="center" wrapText="1"/>
    </xf>
    <xf numFmtId="0" fontId="0" fillId="0" borderId="0" xfId="0" applyBorder="1"/>
    <xf numFmtId="0" fontId="1" fillId="2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Protection="1">
      <protection hidden="1"/>
    </xf>
    <xf numFmtId="4" fontId="3" fillId="0" borderId="0" xfId="0" applyNumberFormat="1" applyFont="1" applyAlignment="1" applyProtection="1">
      <alignment horizontal="right"/>
      <protection hidden="1"/>
    </xf>
    <xf numFmtId="0" fontId="2" fillId="0" borderId="0" xfId="0" applyFont="1"/>
    <xf numFmtId="0" fontId="2" fillId="0" borderId="0" xfId="0" applyFont="1" applyAlignment="1">
      <alignment wrapText="1"/>
    </xf>
    <xf numFmtId="49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798C-7A73-AF46-98A2-7B002A7030FD}">
  <dimension ref="A1:G12"/>
  <sheetViews>
    <sheetView workbookViewId="0">
      <selection activeCell="E2" sqref="E2:E3"/>
    </sheetView>
  </sheetViews>
  <sheetFormatPr baseColWidth="10" defaultRowHeight="16" x14ac:dyDescent="0.2"/>
  <cols>
    <col min="1" max="1" width="16.5" customWidth="1"/>
    <col min="2" max="2" width="14.1640625" customWidth="1"/>
    <col min="3" max="3" width="30.1640625" customWidth="1"/>
    <col min="4" max="5" width="19.33203125" customWidth="1"/>
    <col min="6" max="6" width="14.1640625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">
      <c r="A2" s="1" t="s">
        <v>15</v>
      </c>
      <c r="B2" s="5">
        <v>45</v>
      </c>
      <c r="C2" s="1" t="s">
        <v>7</v>
      </c>
      <c r="D2" s="5">
        <v>60</v>
      </c>
      <c r="E2" s="1" t="s">
        <v>8</v>
      </c>
      <c r="F2" s="5">
        <v>100</v>
      </c>
      <c r="G2" s="1">
        <f>B2*D2*F2/100^2</f>
        <v>27</v>
      </c>
    </row>
    <row r="3" spans="1:7" x14ac:dyDescent="0.2">
      <c r="A3" s="1" t="s">
        <v>15</v>
      </c>
      <c r="B3" s="1">
        <f>B2</f>
        <v>45</v>
      </c>
      <c r="C3" s="1" t="s">
        <v>9</v>
      </c>
      <c r="D3" s="5">
        <v>40</v>
      </c>
      <c r="E3" s="1" t="s">
        <v>10</v>
      </c>
      <c r="F3" s="5">
        <v>100</v>
      </c>
      <c r="G3" s="1">
        <f>B3*D3*F3/100^2</f>
        <v>18</v>
      </c>
    </row>
    <row r="4" spans="1:7" x14ac:dyDescent="0.2">
      <c r="A4" s="1" t="s">
        <v>16</v>
      </c>
      <c r="B4" s="5">
        <v>45</v>
      </c>
      <c r="C4" s="1" t="s">
        <v>11</v>
      </c>
      <c r="D4" s="5">
        <v>80</v>
      </c>
      <c r="E4" s="1" t="s">
        <v>12</v>
      </c>
      <c r="F4" s="5">
        <v>100</v>
      </c>
      <c r="G4" s="1">
        <f t="shared" ref="G3:G7" si="0">B4*D4*F4/100^2</f>
        <v>36</v>
      </c>
    </row>
    <row r="5" spans="1:7" x14ac:dyDescent="0.2">
      <c r="A5" s="1" t="s">
        <v>16</v>
      </c>
      <c r="B5" s="1">
        <f>B4</f>
        <v>45</v>
      </c>
      <c r="C5" s="1" t="s">
        <v>13</v>
      </c>
      <c r="D5" s="5">
        <v>20</v>
      </c>
      <c r="E5" s="1" t="s">
        <v>14</v>
      </c>
      <c r="F5" s="5">
        <v>60</v>
      </c>
      <c r="G5" s="1">
        <f t="shared" si="0"/>
        <v>5.4</v>
      </c>
    </row>
    <row r="6" spans="1:7" x14ac:dyDescent="0.2">
      <c r="A6" s="1" t="s">
        <v>16</v>
      </c>
      <c r="B6" s="1">
        <f>B4</f>
        <v>45</v>
      </c>
      <c r="C6" s="1" t="s">
        <v>13</v>
      </c>
      <c r="D6" s="1">
        <f>D5</f>
        <v>20</v>
      </c>
      <c r="E6" s="1" t="s">
        <v>20</v>
      </c>
      <c r="F6" s="5">
        <v>40</v>
      </c>
      <c r="G6" s="1">
        <f t="shared" si="0"/>
        <v>3.6</v>
      </c>
    </row>
    <row r="7" spans="1:7" x14ac:dyDescent="0.2">
      <c r="A7" s="1" t="s">
        <v>17</v>
      </c>
      <c r="B7" s="5">
        <v>10</v>
      </c>
      <c r="C7" s="1" t="s">
        <v>19</v>
      </c>
      <c r="D7" s="5">
        <v>100</v>
      </c>
      <c r="E7" s="1" t="s">
        <v>18</v>
      </c>
      <c r="F7" s="5">
        <v>100</v>
      </c>
      <c r="G7" s="1">
        <f t="shared" si="0"/>
        <v>10</v>
      </c>
    </row>
    <row r="8" spans="1:7" x14ac:dyDescent="0.2">
      <c r="A8" s="2"/>
      <c r="B8" s="2"/>
      <c r="C8" s="2"/>
      <c r="D8" s="2"/>
      <c r="E8" s="4"/>
      <c r="F8" s="2"/>
      <c r="G8" s="2"/>
    </row>
    <row r="9" spans="1:7" x14ac:dyDescent="0.2">
      <c r="A9" s="2"/>
      <c r="B9" s="2"/>
      <c r="C9" s="2"/>
      <c r="D9" s="2"/>
      <c r="E9" s="2"/>
      <c r="F9" s="2"/>
      <c r="G9" s="2"/>
    </row>
    <row r="10" spans="1:7" x14ac:dyDescent="0.2">
      <c r="A10" s="2"/>
      <c r="B10" s="2"/>
      <c r="C10" s="2"/>
      <c r="D10" s="2"/>
      <c r="E10" s="2"/>
      <c r="F10" s="2"/>
      <c r="G10" s="2"/>
    </row>
    <row r="11" spans="1:7" x14ac:dyDescent="0.2">
      <c r="A11" s="2"/>
      <c r="B11" s="2"/>
      <c r="C11" s="2"/>
      <c r="D11" s="2"/>
      <c r="E11" s="2"/>
      <c r="F11" s="2"/>
      <c r="G11" s="2"/>
    </row>
    <row r="12" spans="1:7" x14ac:dyDescent="0.2">
      <c r="A12" s="2"/>
      <c r="B12" s="2"/>
      <c r="C12" s="2"/>
      <c r="D12" s="2"/>
      <c r="E12" s="2"/>
      <c r="F12" s="2"/>
      <c r="G1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F732-641D-AF4F-98DB-043B18418DE5}">
  <dimension ref="A1:H10"/>
  <sheetViews>
    <sheetView tabSelected="1" zoomScale="75" workbookViewId="0">
      <selection activeCell="D14" sqref="D14"/>
    </sheetView>
  </sheetViews>
  <sheetFormatPr baseColWidth="10" defaultRowHeight="14" x14ac:dyDescent="0.2"/>
  <cols>
    <col min="1" max="1" width="32.33203125" style="10" customWidth="1"/>
    <col min="2" max="2" width="32.5" style="10" customWidth="1"/>
    <col min="3" max="3" width="102.83203125" style="10" customWidth="1"/>
    <col min="4" max="5" width="27" style="10" customWidth="1"/>
    <col min="6" max="6" width="34.5" style="10" customWidth="1"/>
    <col min="7" max="16384" width="10.83203125" style="10"/>
  </cols>
  <sheetData>
    <row r="1" spans="1:8" ht="15" x14ac:dyDescent="0.2">
      <c r="A1" s="10" t="s">
        <v>37</v>
      </c>
      <c r="B1" s="6" t="s">
        <v>23</v>
      </c>
      <c r="D1" s="1" t="s">
        <v>8</v>
      </c>
      <c r="E1" s="1"/>
      <c r="F1" s="1" t="s">
        <v>10</v>
      </c>
    </row>
    <row r="2" spans="1:8" ht="30" x14ac:dyDescent="0.2">
      <c r="A2" s="11" t="s">
        <v>38</v>
      </c>
      <c r="B2" s="7" t="s">
        <v>43</v>
      </c>
      <c r="C2" s="8" t="s">
        <v>44</v>
      </c>
      <c r="D2" s="9">
        <v>75.709999999999994</v>
      </c>
      <c r="E2" s="10" t="s">
        <v>26</v>
      </c>
      <c r="F2" s="10">
        <v>0.7</v>
      </c>
      <c r="G2" s="10" t="s">
        <v>49</v>
      </c>
      <c r="H2" s="10" t="s">
        <v>52</v>
      </c>
    </row>
    <row r="3" spans="1:8" ht="15" x14ac:dyDescent="0.2">
      <c r="A3" s="11" t="s">
        <v>42</v>
      </c>
      <c r="B3" s="7" t="s">
        <v>34</v>
      </c>
      <c r="C3" s="8" t="s">
        <v>35</v>
      </c>
      <c r="D3" s="9">
        <v>2.0099999999999998</v>
      </c>
      <c r="E3" s="10" t="s">
        <v>36</v>
      </c>
      <c r="F3" s="10">
        <f>9/1000</f>
        <v>8.9999999999999993E-3</v>
      </c>
      <c r="G3" s="10" t="s">
        <v>50</v>
      </c>
      <c r="H3" s="10" t="s">
        <v>53</v>
      </c>
    </row>
    <row r="4" spans="1:8" x14ac:dyDescent="0.2">
      <c r="A4" s="10" t="s">
        <v>48</v>
      </c>
      <c r="B4" s="10" t="s">
        <v>46</v>
      </c>
      <c r="C4" s="10" t="s">
        <v>46</v>
      </c>
      <c r="D4" s="10">
        <v>6</v>
      </c>
      <c r="E4" s="10" t="s">
        <v>36</v>
      </c>
      <c r="F4" s="10">
        <f>20/1000</f>
        <v>0.02</v>
      </c>
      <c r="G4" s="10" t="s">
        <v>50</v>
      </c>
      <c r="H4" s="10" t="s">
        <v>54</v>
      </c>
    </row>
    <row r="5" spans="1:8" ht="30" x14ac:dyDescent="0.2">
      <c r="A5" s="11" t="s">
        <v>38</v>
      </c>
      <c r="B5" s="7" t="s">
        <v>21</v>
      </c>
      <c r="C5" s="8" t="s">
        <v>22</v>
      </c>
      <c r="D5" s="9">
        <v>205.29</v>
      </c>
      <c r="E5" s="10" t="s">
        <v>33</v>
      </c>
      <c r="F5" s="10">
        <v>0.55000000000000004</v>
      </c>
      <c r="G5" s="10" t="s">
        <v>51</v>
      </c>
      <c r="H5" s="10" t="s">
        <v>55</v>
      </c>
    </row>
    <row r="6" spans="1:8" x14ac:dyDescent="0.2">
      <c r="A6" s="10" t="s">
        <v>45</v>
      </c>
      <c r="B6" s="10" t="s">
        <v>46</v>
      </c>
      <c r="C6" s="8" t="s">
        <v>46</v>
      </c>
      <c r="D6" s="9">
        <v>1200</v>
      </c>
      <c r="E6" s="10" t="s">
        <v>33</v>
      </c>
      <c r="F6" s="10">
        <v>1.2</v>
      </c>
      <c r="G6" s="10" t="s">
        <v>51</v>
      </c>
      <c r="H6" s="10" t="s">
        <v>56</v>
      </c>
    </row>
    <row r="7" spans="1:8" ht="17" customHeight="1" x14ac:dyDescent="0.2">
      <c r="A7" s="12" t="s">
        <v>47</v>
      </c>
      <c r="B7" s="7" t="s">
        <v>27</v>
      </c>
      <c r="C7" s="8" t="s">
        <v>28</v>
      </c>
      <c r="D7" s="9">
        <v>1040</v>
      </c>
      <c r="E7" s="10" t="s">
        <v>33</v>
      </c>
      <c r="F7" s="10">
        <v>1.2</v>
      </c>
      <c r="G7" s="10" t="s">
        <v>51</v>
      </c>
      <c r="H7" s="10" t="s">
        <v>56</v>
      </c>
    </row>
    <row r="8" spans="1:8" x14ac:dyDescent="0.2">
      <c r="A8" s="10" t="s">
        <v>39</v>
      </c>
      <c r="B8" s="7" t="s">
        <v>24</v>
      </c>
      <c r="C8" s="8" t="s">
        <v>25</v>
      </c>
      <c r="D8" s="9">
        <v>12.66</v>
      </c>
      <c r="E8" s="10" t="s">
        <v>26</v>
      </c>
      <c r="F8" s="10">
        <v>0.2</v>
      </c>
      <c r="G8" s="10" t="s">
        <v>49</v>
      </c>
      <c r="H8" s="10" t="s">
        <v>53</v>
      </c>
    </row>
    <row r="9" spans="1:8" x14ac:dyDescent="0.2">
      <c r="A9" s="10" t="s">
        <v>40</v>
      </c>
      <c r="B9" s="7" t="s">
        <v>31</v>
      </c>
      <c r="C9" s="8" t="s">
        <v>32</v>
      </c>
      <c r="D9" s="9">
        <v>6.71</v>
      </c>
      <c r="E9" s="10" t="s">
        <v>26</v>
      </c>
      <c r="F9" s="10">
        <v>0.2</v>
      </c>
      <c r="G9" s="10" t="s">
        <v>49</v>
      </c>
      <c r="H9" s="10" t="s">
        <v>53</v>
      </c>
    </row>
    <row r="10" spans="1:8" x14ac:dyDescent="0.2">
      <c r="A10" s="10" t="s">
        <v>41</v>
      </c>
      <c r="B10" s="7" t="s">
        <v>29</v>
      </c>
      <c r="C10" s="8" t="s">
        <v>30</v>
      </c>
      <c r="D10" s="9">
        <v>23.45</v>
      </c>
      <c r="E10" s="10" t="s">
        <v>26</v>
      </c>
      <c r="F10" s="10">
        <v>0.55000000000000004</v>
      </c>
      <c r="G10" s="10" t="s">
        <v>49</v>
      </c>
      <c r="H10" s="10" t="s">
        <v>57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Balanced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Bieg  Jonathan</dc:creator>
  <cp:lastModifiedBy>Bieg  Jonathan</cp:lastModifiedBy>
  <dcterms:created xsi:type="dcterms:W3CDTF">2026-04-24T07:54:17Z</dcterms:created>
  <dcterms:modified xsi:type="dcterms:W3CDTF">2026-04-24T11:49:15Z</dcterms:modified>
</cp:coreProperties>
</file>