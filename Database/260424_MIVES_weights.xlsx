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ieg/Documents/Master Thesis/1_Code/Python Repository/SDSD_Bieg/Database/"/>
    </mc:Choice>
  </mc:AlternateContent>
  <xr:revisionPtr revIDLastSave="0" documentId="13_ncr:1_{ED32772F-C1E4-E246-A203-0D887CB2A0DB}" xr6:coauthVersionLast="47" xr6:coauthVersionMax="47" xr10:uidLastSave="{00000000-0000-0000-0000-000000000000}"/>
  <bookViews>
    <workbookView xWindow="5440" yWindow="1900" windowWidth="20800" windowHeight="15940" xr2:uid="{C87B0895-C1AD-874F-B04F-2F3A4E3CB4D6}"/>
  </bookViews>
  <sheets>
    <sheet name="Balanced" sheetId="1" r:id="rId1"/>
    <sheet name="In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G17" i="2"/>
  <c r="D19" i="2"/>
  <c r="D17" i="2"/>
  <c r="D6" i="2" l="1"/>
  <c r="G4" i="2"/>
  <c r="G3" i="2"/>
  <c r="D6" i="1" l="1"/>
  <c r="B6" i="1"/>
  <c r="B5" i="1"/>
  <c r="G5" i="1" s="1"/>
  <c r="B3" i="1"/>
  <c r="G3" i="1" s="1"/>
  <c r="G4" i="1"/>
  <c r="G2" i="1"/>
  <c r="G6" i="1" l="1"/>
</calcChain>
</file>

<file path=xl/sharedStrings.xml><?xml version="1.0" encoding="utf-8"?>
<sst xmlns="http://schemas.openxmlformats.org/spreadsheetml/2006/main" count="145" uniqueCount="78">
  <si>
    <t>Requirement</t>
  </si>
  <si>
    <t>WR (%)</t>
  </si>
  <si>
    <t>Criterion</t>
  </si>
  <si>
    <t>WC (%)</t>
  </si>
  <si>
    <t>Indicator</t>
  </si>
  <si>
    <t>WI (%)</t>
  </si>
  <si>
    <t>Wt (%)</t>
  </si>
  <si>
    <t>C1 Construction cost</t>
  </si>
  <si>
    <t>C2 Construction time</t>
  </si>
  <si>
    <t>I2 Time for construction</t>
  </si>
  <si>
    <t>C3 Emissions</t>
  </si>
  <si>
    <t>I3 GWP</t>
  </si>
  <si>
    <t>C4 Indirect influences</t>
  </si>
  <si>
    <t>I4 htot</t>
  </si>
  <si>
    <t>R1_Economic</t>
  </si>
  <si>
    <t>R2_Environmental</t>
  </si>
  <si>
    <t>I5 mtot</t>
  </si>
  <si>
    <t>'241.661.112</t>
  </si>
  <si>
    <t xml:space="preserve">Beton für Deckenplatten liefern, einbauen und verdichten. Beton Typ NPK A. Horizontal oder einseitig geneigt bis % 5,0. Plattendicke m 0,21 bis 0,30. </t>
  </si>
  <si>
    <t>NPK Position</t>
  </si>
  <si>
    <t>'241.511.123</t>
  </si>
  <si>
    <t>Stabstähle. Stahl B500A, liefern und verlegen. BG 1 (1). d mm 16 bis 22.</t>
  </si>
  <si>
    <t>MATERIAL</t>
  </si>
  <si>
    <t xml:space="preserve">
ready_mixed_concrete</t>
  </si>
  <si>
    <t>steel_reinforcing_bar</t>
  </si>
  <si>
    <t>'241.261.301</t>
  </si>
  <si>
    <t>Schalungen für horizontale Deckenplatten-Untersichten. Typ 3-1 Plattendicke m 0.36 bis 0.45 Spriesshöhe m 3.51 - 5.50. Ohne Ueberhöhung. LE = m2</t>
  </si>
  <si>
    <t>Glue_laminated_timber</t>
  </si>
  <si>
    <t>Solid_structural_timber</t>
  </si>
  <si>
    <t>prestressing steel</t>
  </si>
  <si>
    <t>wh/m2</t>
  </si>
  <si>
    <t>wh/kg</t>
  </si>
  <si>
    <t>wh/m3</t>
  </si>
  <si>
    <t>logistics, propping, leveling, oiling, cleaning</t>
  </si>
  <si>
    <t>placing</t>
  </si>
  <si>
    <t>placing, stressing</t>
  </si>
  <si>
    <t>placing, vibrating, leveling, cleaning</t>
  </si>
  <si>
    <t>logistics, connections</t>
  </si>
  <si>
    <t>I1 Cost</t>
  </si>
  <si>
    <t>Source</t>
  </si>
  <si>
    <t>assumed</t>
  </si>
  <si>
    <t>DBS_6</t>
  </si>
  <si>
    <t>DBS_8</t>
  </si>
  <si>
    <t>DBS_10</t>
  </si>
  <si>
    <t>DBS_12</t>
  </si>
  <si>
    <t>kerve</t>
  </si>
  <si>
    <t>CHF/stk.</t>
  </si>
  <si>
    <t>wh/stk.</t>
  </si>
  <si>
    <t>Material, logistics, assembly</t>
  </si>
  <si>
    <t>logistics, assembly</t>
  </si>
  <si>
    <t>preparation, cleaning</t>
  </si>
  <si>
    <t>TCC connector</t>
  </si>
  <si>
    <t>CHF/m2</t>
  </si>
  <si>
    <t>CHF/kg</t>
  </si>
  <si>
    <t>CHF/m3</t>
  </si>
  <si>
    <t>unit</t>
  </si>
  <si>
    <t>description</t>
  </si>
  <si>
    <t>Beschreibung</t>
  </si>
  <si>
    <t>'335.531.114</t>
  </si>
  <si>
    <t>Geschossdecke aus Brettstapeln, Konstruktion, sagerohen Lamellen, h mm 240</t>
  </si>
  <si>
    <t>Parkett 2-Schicht werkversiegelt, 11 mm</t>
  </si>
  <si>
    <t>Unterlagsboden Zement, 85 mm</t>
  </si>
  <si>
    <t>Glaswolle</t>
  </si>
  <si>
    <t>Kies gebrochen</t>
  </si>
  <si>
    <t>Steinwolle</t>
  </si>
  <si>
    <t>Gipsfaserplatte</t>
  </si>
  <si>
    <t>'664.321.121</t>
  </si>
  <si>
    <t>Klebeparkett auf zementgebundene Unterlagsböden geklebt. d mm 8. Paralelldessin, Lamellen mm 120x24, Eiche Standart</t>
  </si>
  <si>
    <t>'661.711.111</t>
  </si>
  <si>
    <t>Zementestrich CT. Mit Bodenheizung. Beanspruchungskategorie A, Festigkeitsklasse C20 - F4, auf Dämmschicht. d mm 75</t>
  </si>
  <si>
    <t>'364.921.111</t>
  </si>
  <si>
    <t>Beschwerungs- und Schutzschichten. Lose aufbringen. Rundkies gewaschen (Betonkies ungebrochen, gewaschen), Korngruppe 8/16. d mm 50.</t>
  </si>
  <si>
    <t>'661.433.114</t>
  </si>
  <si>
    <t>Trittschall-Dämmplatten aus expandiertem Polystyrol gewalkt EPS-T. Einlagig mit Randstreifen. Platten unbelegt, d mm 22/20</t>
  </si>
  <si>
    <t>https://www.irbnet.de/daten/iconda/CIB19076.pdf (Access 28.4.2026)</t>
  </si>
  <si>
    <t>https://www.irbnet.de/daten/iconda/CIB19076.pdf  (Access 28.4.2026)</t>
  </si>
  <si>
    <t>https://steelmonks.com/blogs/nutzliches-fur-handwerker/wie-lange-braucht-ein-estrichleger-ein-genauer-blick-auf-dauer-ablaufe-und-kleine-wertschatzungsgeschenke (Access 3.6.2026)</t>
  </si>
  <si>
    <t>https://www.bodenleger-offerte.ch/preise.htm  (Access 3.6.2026)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</si>
</sst>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0"/>
      <color theme="1"/>
      <name val="Aptos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scheme val="minor"/>
    </font>
    <font>
      <sz val="10"/>
      <color indexed="8"/>
      <name val="Aptos Narrow"/>
      <scheme val="minor"/>
    </font>
    <font>
      <sz val="10"/>
      <name val="Aptos Narrow"/>
      <scheme val="minor"/>
    </font>
    <font>
      <sz val="10"/>
      <color rgb="FF000000"/>
      <name val="Aptos Narrow"/>
      <scheme val="minor"/>
    </font>
    <font>
      <sz val="10"/>
      <color indexed="8"/>
      <name val="Arial Narrow"/>
      <family val="2"/>
    </font>
    <font>
      <sz val="10"/>
      <name val="Arial Narrow"/>
      <family val="2"/>
    </font>
    <font>
      <u/>
      <sz val="12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hair">
        <color indexed="64"/>
      </left>
      <right/>
      <top style="thin">
        <color rgb="FFC9C9C9"/>
      </top>
      <bottom style="thin">
        <color rgb="FFC9C9C9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2" fillId="0" borderId="0" xfId="0" applyFont="1"/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 applyProtection="1">
      <protection hidden="1"/>
    </xf>
    <xf numFmtId="4" fontId="5" fillId="0" borderId="0" xfId="0" applyNumberFormat="1" applyFont="1" applyAlignment="1" applyProtection="1">
      <alignment horizontal="right"/>
      <protection hidden="1"/>
    </xf>
    <xf numFmtId="0" fontId="4" fillId="0" borderId="0" xfId="0" applyFont="1"/>
    <xf numFmtId="49" fontId="7" fillId="0" borderId="1" xfId="0" applyNumberFormat="1" applyFont="1" applyBorder="1"/>
    <xf numFmtId="0" fontId="8" fillId="0" borderId="0" xfId="0" applyFont="1"/>
    <xf numFmtId="0" fontId="9" fillId="0" borderId="0" xfId="0" applyFont="1" applyProtection="1">
      <protection hidden="1"/>
    </xf>
    <xf numFmtId="2" fontId="2" fillId="0" borderId="0" xfId="0" applyNumberFormat="1" applyFont="1"/>
    <xf numFmtId="0" fontId="0" fillId="4" borderId="2" xfId="0" applyFill="1" applyBorder="1"/>
    <xf numFmtId="0" fontId="0" fillId="0" borderId="2" xfId="0" applyBorder="1"/>
    <xf numFmtId="0" fontId="10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rbnet.de/daten/iconda/CIB19076.pdf%20%20(Access%2028.4.2026)" TargetMode="External"/><Relationship Id="rId2" Type="http://schemas.openxmlformats.org/officeDocument/2006/relationships/hyperlink" Target="https://www.irbnet.de/daten/iconda/CIB19076.pdf%20%20(Access%2028.4.2026)" TargetMode="External"/><Relationship Id="rId1" Type="http://schemas.openxmlformats.org/officeDocument/2006/relationships/hyperlink" Target="https://www.irbnet.de/daten/iconda/CIB19076.pdf%20(Access%2028.4.2026)" TargetMode="External"/><Relationship Id="rId5" Type="http://schemas.openxmlformats.org/officeDocument/2006/relationships/hyperlink" Target="https://steelmonks.com/blogs/nutzliches-fur-handwerker/wie-lange-braucht-ein-estrichleger-ein-genauer-blick-auf-dauer-ablaufe-und-kleine-wertschatzungsgeschenke%20(Access%203.6.2026)" TargetMode="External"/><Relationship Id="rId4" Type="http://schemas.openxmlformats.org/officeDocument/2006/relationships/hyperlink" Target="https://www.bodenleger-offerte.ch/preise.htm%20%20(Access%203.6.2026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9798C-7A73-AF46-98A2-7B002A7030FD}">
  <dimension ref="A1:G7"/>
  <sheetViews>
    <sheetView tabSelected="1" workbookViewId="0">
      <selection activeCell="F9" sqref="F9"/>
    </sheetView>
  </sheetViews>
  <sheetFormatPr baseColWidth="10" defaultRowHeight="16" x14ac:dyDescent="0.2"/>
  <cols>
    <col min="1" max="1" width="16.5" customWidth="1"/>
    <col min="2" max="2" width="14.1640625" customWidth="1"/>
    <col min="3" max="3" width="30.1640625" customWidth="1"/>
    <col min="4" max="5" width="19.33203125" customWidth="1"/>
    <col min="6" max="6" width="14.1640625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 t="s">
        <v>14</v>
      </c>
      <c r="B2" s="3">
        <v>50</v>
      </c>
      <c r="C2" s="1" t="s">
        <v>7</v>
      </c>
      <c r="D2" s="3">
        <v>70</v>
      </c>
      <c r="E2" s="1" t="s">
        <v>38</v>
      </c>
      <c r="F2" s="3">
        <v>100</v>
      </c>
      <c r="G2" s="1">
        <f>B2*D2*F2/100^2</f>
        <v>35</v>
      </c>
    </row>
    <row r="3" spans="1:7" x14ac:dyDescent="0.2">
      <c r="A3" s="1" t="s">
        <v>14</v>
      </c>
      <c r="B3" s="1">
        <f>B2</f>
        <v>50</v>
      </c>
      <c r="C3" s="1" t="s">
        <v>8</v>
      </c>
      <c r="D3" s="3">
        <v>30</v>
      </c>
      <c r="E3" s="1" t="s">
        <v>9</v>
      </c>
      <c r="F3" s="3">
        <v>100</v>
      </c>
      <c r="G3" s="1">
        <f>B3*D3*F3/100^2</f>
        <v>15</v>
      </c>
    </row>
    <row r="4" spans="1:7" x14ac:dyDescent="0.2">
      <c r="A4" s="1" t="s">
        <v>15</v>
      </c>
      <c r="B4" s="3">
        <v>50</v>
      </c>
      <c r="C4" s="1" t="s">
        <v>10</v>
      </c>
      <c r="D4" s="3">
        <v>70</v>
      </c>
      <c r="E4" s="1" t="s">
        <v>11</v>
      </c>
      <c r="F4" s="3">
        <v>100</v>
      </c>
      <c r="G4" s="1">
        <f t="shared" ref="G4:G6" si="0">B4*D4*F4/100^2</f>
        <v>35</v>
      </c>
    </row>
    <row r="5" spans="1:7" x14ac:dyDescent="0.2">
      <c r="A5" s="1" t="s">
        <v>15</v>
      </c>
      <c r="B5" s="1">
        <f>B4</f>
        <v>50</v>
      </c>
      <c r="C5" s="1" t="s">
        <v>12</v>
      </c>
      <c r="D5" s="3">
        <v>30</v>
      </c>
      <c r="E5" s="1" t="s">
        <v>13</v>
      </c>
      <c r="F5" s="3">
        <v>60</v>
      </c>
      <c r="G5" s="1">
        <f t="shared" si="0"/>
        <v>9</v>
      </c>
    </row>
    <row r="6" spans="1:7" x14ac:dyDescent="0.2">
      <c r="A6" s="1" t="s">
        <v>15</v>
      </c>
      <c r="B6" s="1">
        <f>B4</f>
        <v>50</v>
      </c>
      <c r="C6" s="1" t="s">
        <v>12</v>
      </c>
      <c r="D6" s="1">
        <f>D5</f>
        <v>30</v>
      </c>
      <c r="E6" s="1" t="s">
        <v>16</v>
      </c>
      <c r="F6" s="3">
        <v>40</v>
      </c>
      <c r="G6" s="1">
        <f t="shared" si="0"/>
        <v>6</v>
      </c>
    </row>
    <row r="7" spans="1:7" x14ac:dyDescent="0.2">
      <c r="E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CF732-641D-AF4F-98DB-043B18418DE5}">
  <dimension ref="A1:I21"/>
  <sheetViews>
    <sheetView zoomScale="50" workbookViewId="0">
      <selection activeCell="C34" sqref="C34"/>
    </sheetView>
  </sheetViews>
  <sheetFormatPr baseColWidth="10" defaultRowHeight="14" x14ac:dyDescent="0.2"/>
  <cols>
    <col min="1" max="1" width="32.33203125" style="4" customWidth="1"/>
    <col min="2" max="2" width="32.5" style="4" customWidth="1"/>
    <col min="3" max="3" width="102.83203125" style="4" customWidth="1"/>
    <col min="4" max="4" width="27" style="4" customWidth="1"/>
    <col min="5" max="5" width="16.83203125" style="4" customWidth="1"/>
    <col min="6" max="6" width="83" style="4" customWidth="1"/>
    <col min="7" max="7" width="34.5" style="4" customWidth="1"/>
    <col min="8" max="8" width="10.83203125" style="4"/>
    <col min="9" max="9" width="40.33203125" style="4" customWidth="1"/>
    <col min="10" max="16384" width="10.83203125" style="4"/>
  </cols>
  <sheetData>
    <row r="1" spans="1:9" ht="15" x14ac:dyDescent="0.2">
      <c r="A1" s="5" t="s">
        <v>22</v>
      </c>
      <c r="B1" s="6" t="s">
        <v>19</v>
      </c>
      <c r="C1" s="5" t="s">
        <v>57</v>
      </c>
      <c r="D1" s="7" t="s">
        <v>38</v>
      </c>
      <c r="E1" s="7" t="s">
        <v>55</v>
      </c>
      <c r="F1" s="7" t="s">
        <v>39</v>
      </c>
      <c r="G1" s="7" t="s">
        <v>9</v>
      </c>
      <c r="H1" s="5" t="s">
        <v>55</v>
      </c>
      <c r="I1" s="5" t="s">
        <v>56</v>
      </c>
    </row>
    <row r="2" spans="1:9" ht="19" customHeight="1" x14ac:dyDescent="0.2">
      <c r="A2" s="8" t="s">
        <v>23</v>
      </c>
      <c r="B2" s="9" t="s">
        <v>25</v>
      </c>
      <c r="C2" s="10" t="s">
        <v>26</v>
      </c>
      <c r="D2" s="11">
        <v>75.709999999999994</v>
      </c>
      <c r="E2" s="12" t="s">
        <v>52</v>
      </c>
      <c r="F2" s="19" t="s">
        <v>74</v>
      </c>
      <c r="G2" s="12">
        <v>0.7</v>
      </c>
      <c r="H2" s="12" t="s">
        <v>30</v>
      </c>
      <c r="I2" s="12" t="s">
        <v>33</v>
      </c>
    </row>
    <row r="3" spans="1:9" ht="16" x14ac:dyDescent="0.2">
      <c r="A3" s="8" t="s">
        <v>24</v>
      </c>
      <c r="B3" s="9" t="s">
        <v>20</v>
      </c>
      <c r="C3" s="10" t="s">
        <v>21</v>
      </c>
      <c r="D3" s="11">
        <v>2.0099999999999998</v>
      </c>
      <c r="E3" s="12" t="s">
        <v>53</v>
      </c>
      <c r="F3" s="19" t="s">
        <v>75</v>
      </c>
      <c r="G3" s="12">
        <f>9/1000</f>
        <v>8.9999999999999993E-3</v>
      </c>
      <c r="H3" s="12" t="s">
        <v>31</v>
      </c>
      <c r="I3" s="12" t="s">
        <v>34</v>
      </c>
    </row>
    <row r="4" spans="1:9" x14ac:dyDescent="0.2">
      <c r="A4" s="12" t="s">
        <v>29</v>
      </c>
      <c r="B4" s="12" t="s">
        <v>40</v>
      </c>
      <c r="C4" s="12" t="s">
        <v>48</v>
      </c>
      <c r="D4" s="12">
        <v>6</v>
      </c>
      <c r="E4" s="12" t="s">
        <v>53</v>
      </c>
      <c r="F4" s="12" t="s">
        <v>40</v>
      </c>
      <c r="G4" s="12">
        <f>20/1000</f>
        <v>0.02</v>
      </c>
      <c r="H4" s="12" t="s">
        <v>31</v>
      </c>
      <c r="I4" s="12" t="s">
        <v>35</v>
      </c>
    </row>
    <row r="5" spans="1:9" ht="30" x14ac:dyDescent="0.2">
      <c r="A5" s="8" t="s">
        <v>23</v>
      </c>
      <c r="B5" s="9" t="s">
        <v>17</v>
      </c>
      <c r="C5" s="10" t="s">
        <v>18</v>
      </c>
      <c r="D5" s="11">
        <v>205.29</v>
      </c>
      <c r="E5" s="12" t="s">
        <v>54</v>
      </c>
      <c r="F5" s="19" t="s">
        <v>75</v>
      </c>
      <c r="G5" s="12">
        <v>0.3</v>
      </c>
      <c r="H5" s="12" t="s">
        <v>32</v>
      </c>
      <c r="I5" s="12" t="s">
        <v>36</v>
      </c>
    </row>
    <row r="6" spans="1:9" x14ac:dyDescent="0.2">
      <c r="A6" s="12" t="s">
        <v>27</v>
      </c>
      <c r="B6" s="12" t="s">
        <v>40</v>
      </c>
      <c r="C6" s="12" t="s">
        <v>48</v>
      </c>
      <c r="D6" s="11">
        <f>D7+500</f>
        <v>1750</v>
      </c>
      <c r="E6" s="12" t="s">
        <v>54</v>
      </c>
      <c r="F6" s="12" t="s">
        <v>40</v>
      </c>
      <c r="G6" s="12">
        <v>1</v>
      </c>
      <c r="H6" s="12" t="s">
        <v>32</v>
      </c>
      <c r="I6" s="12" t="s">
        <v>37</v>
      </c>
    </row>
    <row r="7" spans="1:9" ht="17" customHeight="1" x14ac:dyDescent="0.2">
      <c r="A7" s="13" t="s">
        <v>28</v>
      </c>
      <c r="B7" s="14" t="s">
        <v>58</v>
      </c>
      <c r="C7" s="15" t="s">
        <v>59</v>
      </c>
      <c r="D7" s="11">
        <v>1250</v>
      </c>
      <c r="E7" s="12" t="s">
        <v>54</v>
      </c>
      <c r="F7" s="12" t="s">
        <v>40</v>
      </c>
      <c r="G7" s="12">
        <v>1</v>
      </c>
      <c r="H7" s="12" t="s">
        <v>32</v>
      </c>
      <c r="I7" s="12" t="s">
        <v>37</v>
      </c>
    </row>
    <row r="9" spans="1:9" x14ac:dyDescent="0.2">
      <c r="A9" s="4" t="s">
        <v>51</v>
      </c>
    </row>
    <row r="10" spans="1:9" x14ac:dyDescent="0.2">
      <c r="A10" s="4" t="s">
        <v>41</v>
      </c>
      <c r="B10" s="4" t="s">
        <v>40</v>
      </c>
      <c r="C10" s="12" t="s">
        <v>48</v>
      </c>
      <c r="D10" s="4">
        <v>5</v>
      </c>
      <c r="E10" s="4" t="s">
        <v>46</v>
      </c>
      <c r="F10" s="4" t="s">
        <v>40</v>
      </c>
      <c r="G10" s="4">
        <v>0.01</v>
      </c>
      <c r="H10" s="4" t="s">
        <v>47</v>
      </c>
      <c r="I10" s="4" t="s">
        <v>49</v>
      </c>
    </row>
    <row r="11" spans="1:9" x14ac:dyDescent="0.2">
      <c r="A11" s="4" t="s">
        <v>42</v>
      </c>
      <c r="B11" s="4" t="s">
        <v>40</v>
      </c>
      <c r="C11" s="12" t="s">
        <v>48</v>
      </c>
      <c r="D11" s="16">
        <v>5.5</v>
      </c>
      <c r="E11" s="4" t="s">
        <v>46</v>
      </c>
      <c r="F11" s="4" t="s">
        <v>40</v>
      </c>
      <c r="G11" s="4">
        <v>0.01</v>
      </c>
      <c r="H11" s="4" t="s">
        <v>47</v>
      </c>
      <c r="I11" s="4" t="s">
        <v>49</v>
      </c>
    </row>
    <row r="12" spans="1:9" x14ac:dyDescent="0.2">
      <c r="A12" s="4" t="s">
        <v>43</v>
      </c>
      <c r="B12" s="4" t="s">
        <v>40</v>
      </c>
      <c r="C12" s="12" t="s">
        <v>48</v>
      </c>
      <c r="D12" s="4">
        <v>6</v>
      </c>
      <c r="E12" s="4" t="s">
        <v>46</v>
      </c>
      <c r="F12" s="4" t="s">
        <v>40</v>
      </c>
      <c r="G12" s="4">
        <v>1.4999999999999999E-2</v>
      </c>
      <c r="H12" s="4" t="s">
        <v>47</v>
      </c>
      <c r="I12" s="4" t="s">
        <v>49</v>
      </c>
    </row>
    <row r="13" spans="1:9" x14ac:dyDescent="0.2">
      <c r="A13" s="4" t="s">
        <v>44</v>
      </c>
      <c r="B13" s="4" t="s">
        <v>40</v>
      </c>
      <c r="C13" s="12" t="s">
        <v>48</v>
      </c>
      <c r="D13" s="4">
        <v>6.5</v>
      </c>
      <c r="E13" s="4" t="s">
        <v>46</v>
      </c>
      <c r="F13" s="4" t="s">
        <v>40</v>
      </c>
      <c r="G13" s="4">
        <v>1.4999999999999999E-2</v>
      </c>
      <c r="H13" s="4" t="s">
        <v>47</v>
      </c>
      <c r="I13" s="4" t="s">
        <v>49</v>
      </c>
    </row>
    <row r="14" spans="1:9" x14ac:dyDescent="0.2">
      <c r="A14" s="4" t="s">
        <v>45</v>
      </c>
      <c r="B14" s="4" t="s">
        <v>40</v>
      </c>
      <c r="C14" s="12" t="s">
        <v>48</v>
      </c>
      <c r="D14" s="4">
        <v>30</v>
      </c>
      <c r="E14" s="4" t="s">
        <v>46</v>
      </c>
      <c r="F14" s="4" t="s">
        <v>40</v>
      </c>
      <c r="G14" s="4">
        <v>0.01</v>
      </c>
      <c r="H14" s="4" t="s">
        <v>47</v>
      </c>
      <c r="I14" s="4" t="s">
        <v>50</v>
      </c>
    </row>
    <row r="16" spans="1:9" ht="16" x14ac:dyDescent="0.2">
      <c r="A16" s="17" t="s">
        <v>60</v>
      </c>
      <c r="B16" s="14" t="s">
        <v>66</v>
      </c>
      <c r="C16" s="15" t="s">
        <v>67</v>
      </c>
      <c r="D16">
        <v>9626</v>
      </c>
      <c r="E16" s="4" t="s">
        <v>54</v>
      </c>
      <c r="F16" s="19" t="s">
        <v>77</v>
      </c>
      <c r="G16">
        <f>6/20</f>
        <v>0.3</v>
      </c>
      <c r="H16" s="4" t="s">
        <v>30</v>
      </c>
    </row>
    <row r="17" spans="1:8" ht="16" x14ac:dyDescent="0.2">
      <c r="A17" s="18" t="s">
        <v>61</v>
      </c>
      <c r="B17" s="14" t="s">
        <v>68</v>
      </c>
      <c r="C17" s="15" t="s">
        <v>69</v>
      </c>
      <c r="D17">
        <f>25.32/0.075</f>
        <v>337.6</v>
      </c>
      <c r="E17" s="4" t="s">
        <v>54</v>
      </c>
      <c r="F17" s="19" t="s">
        <v>76</v>
      </c>
      <c r="G17">
        <f>3/20</f>
        <v>0.15</v>
      </c>
      <c r="H17" s="4" t="s">
        <v>30</v>
      </c>
    </row>
    <row r="18" spans="1:8" ht="16" x14ac:dyDescent="0.2">
      <c r="A18" s="17" t="s">
        <v>62</v>
      </c>
      <c r="B18" s="14" t="s">
        <v>72</v>
      </c>
      <c r="C18" s="15" t="s">
        <v>73</v>
      </c>
      <c r="D18">
        <v>335</v>
      </c>
      <c r="E18" s="4" t="s">
        <v>54</v>
      </c>
      <c r="F18" s="4" t="s">
        <v>40</v>
      </c>
      <c r="G18">
        <v>0.1</v>
      </c>
      <c r="H18" s="4" t="s">
        <v>30</v>
      </c>
    </row>
    <row r="19" spans="1:8" ht="16" x14ac:dyDescent="0.2">
      <c r="A19" s="18" t="s">
        <v>63</v>
      </c>
      <c r="B19" s="14" t="s">
        <v>70</v>
      </c>
      <c r="C19" s="15" t="s">
        <v>71</v>
      </c>
      <c r="D19">
        <f>12.66/0.05</f>
        <v>253.2</v>
      </c>
      <c r="E19" s="4" t="s">
        <v>54</v>
      </c>
      <c r="F19" s="4" t="s">
        <v>40</v>
      </c>
      <c r="G19">
        <v>0.2</v>
      </c>
      <c r="H19" s="4" t="s">
        <v>30</v>
      </c>
    </row>
    <row r="20" spans="1:8" ht="16" x14ac:dyDescent="0.2">
      <c r="A20" t="s">
        <v>64</v>
      </c>
      <c r="B20" s="14" t="s">
        <v>72</v>
      </c>
      <c r="C20" s="15" t="s">
        <v>73</v>
      </c>
      <c r="D20">
        <v>335</v>
      </c>
      <c r="E20" s="4" t="s">
        <v>54</v>
      </c>
      <c r="F20" s="4" t="s">
        <v>40</v>
      </c>
      <c r="G20">
        <v>0.1</v>
      </c>
      <c r="H20" s="4" t="s">
        <v>30</v>
      </c>
    </row>
    <row r="21" spans="1:8" ht="16" x14ac:dyDescent="0.2">
      <c r="A21" t="s">
        <v>65</v>
      </c>
      <c r="B21" s="14" t="s">
        <v>72</v>
      </c>
      <c r="C21" s="15" t="s">
        <v>73</v>
      </c>
      <c r="D21">
        <v>335</v>
      </c>
      <c r="E21" s="4" t="s">
        <v>54</v>
      </c>
      <c r="F21" s="4" t="s">
        <v>40</v>
      </c>
      <c r="G21">
        <v>0.1</v>
      </c>
      <c r="H21" s="4" t="s">
        <v>30</v>
      </c>
    </row>
  </sheetData>
  <phoneticPr fontId="3" type="noConversion"/>
  <hyperlinks>
    <hyperlink ref="F2" r:id="rId1" xr:uid="{AFAE6ADC-701D-B548-8C65-979AB2255C71}"/>
    <hyperlink ref="F3" r:id="rId2" xr:uid="{F3AD0341-78A0-F848-851C-B82C9BA93715}"/>
    <hyperlink ref="F5" r:id="rId3" xr:uid="{E0D17201-F39B-3C4F-A547-541EFB3F6E5F}"/>
    <hyperlink ref="F16" r:id="rId4" xr:uid="{943350AC-2CBE-7F4F-B831-1052B7C9AE9E}"/>
    <hyperlink ref="F17" r:id="rId5" xr:uid="{68BBECDF-422F-9149-A2D4-07AD4798CC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Balanced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Bieg  Jonathan</dc:creator>
  <cp:lastModifiedBy>Bieg  Jonathan</cp:lastModifiedBy>
  <dcterms:created xsi:type="dcterms:W3CDTF">2026-04-24T07:54:17Z</dcterms:created>
  <dcterms:modified xsi:type="dcterms:W3CDTF">2026-06-05T11:08:13Z</dcterms:modified>
</cp:coreProperties>
</file>