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/>
  <mc:AlternateContent xmlns:mc="http://schemas.openxmlformats.org/markup-compatibility/2006">
    <mc:Choice Requires="x15">
      <x15ac:absPath xmlns:x15ac="http://schemas.microsoft.com/office/spreadsheetml/2010/11/ac" url="/Users/jonathanbieg/Documents/Master Thesis/1_Code/Python Repository/SDSD_Bieg/Database/"/>
    </mc:Choice>
  </mc:AlternateContent>
  <xr:revisionPtr revIDLastSave="0" documentId="13_ncr:1_{6B477DE9-CA41-B04F-9524-8937201279E1}" xr6:coauthVersionLast="47" xr6:coauthVersionMax="47" xr10:uidLastSave="{00000000-0000-0000-0000-000000000000}"/>
  <bookViews>
    <workbookView xWindow="2660" yWindow="1100" windowWidth="23780" windowHeight="1576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6" i="1" l="1"/>
  <c r="N44" i="1"/>
  <c r="N42" i="1"/>
  <c r="N40" i="1"/>
  <c r="N38" i="1"/>
  <c r="N36" i="1"/>
  <c r="N34" i="1"/>
  <c r="N32" i="1"/>
  <c r="N45" i="1"/>
  <c r="T46" i="1"/>
  <c r="U46" i="1" s="1"/>
  <c r="Q46" i="1"/>
  <c r="P46" i="1"/>
  <c r="K46" i="1"/>
  <c r="S46" i="1" s="1"/>
  <c r="J46" i="1"/>
  <c r="R46" i="1" s="1"/>
  <c r="T45" i="1"/>
  <c r="U45" i="1" s="1"/>
  <c r="Q45" i="1"/>
  <c r="P45" i="1"/>
  <c r="K45" i="1"/>
  <c r="S45" i="1" s="1"/>
  <c r="J45" i="1"/>
  <c r="R45" i="1" s="1"/>
  <c r="N43" i="1"/>
  <c r="T44" i="1"/>
  <c r="U44" i="1" s="1"/>
  <c r="Q44" i="1"/>
  <c r="P44" i="1"/>
  <c r="K44" i="1"/>
  <c r="S44" i="1" s="1"/>
  <c r="J44" i="1"/>
  <c r="R44" i="1" s="1"/>
  <c r="T43" i="1"/>
  <c r="U43" i="1" s="1"/>
  <c r="Q43" i="1"/>
  <c r="P43" i="1"/>
  <c r="K43" i="1"/>
  <c r="S43" i="1" s="1"/>
  <c r="J43" i="1"/>
  <c r="R43" i="1" s="1"/>
  <c r="N41" i="1"/>
  <c r="T42" i="1"/>
  <c r="U42" i="1" s="1"/>
  <c r="Q42" i="1"/>
  <c r="P42" i="1"/>
  <c r="K42" i="1"/>
  <c r="S42" i="1" s="1"/>
  <c r="J42" i="1"/>
  <c r="R42" i="1" s="1"/>
  <c r="T41" i="1"/>
  <c r="U41" i="1" s="1"/>
  <c r="Q41" i="1"/>
  <c r="P41" i="1"/>
  <c r="K41" i="1"/>
  <c r="S41" i="1" s="1"/>
  <c r="J41" i="1"/>
  <c r="R41" i="1" s="1"/>
  <c r="N39" i="1"/>
  <c r="T40" i="1"/>
  <c r="U40" i="1" s="1"/>
  <c r="Q40" i="1"/>
  <c r="P40" i="1"/>
  <c r="K40" i="1"/>
  <c r="S40" i="1" s="1"/>
  <c r="J40" i="1"/>
  <c r="R40" i="1" s="1"/>
  <c r="T39" i="1"/>
  <c r="U39" i="1" s="1"/>
  <c r="Q39" i="1"/>
  <c r="P39" i="1"/>
  <c r="K39" i="1"/>
  <c r="S39" i="1" s="1"/>
  <c r="J39" i="1"/>
  <c r="R39" i="1" s="1"/>
  <c r="N37" i="1"/>
  <c r="T38" i="1"/>
  <c r="U38" i="1" s="1"/>
  <c r="Q38" i="1"/>
  <c r="P38" i="1"/>
  <c r="K38" i="1"/>
  <c r="S38" i="1" s="1"/>
  <c r="J38" i="1"/>
  <c r="R38" i="1" s="1"/>
  <c r="Q37" i="1"/>
  <c r="P37" i="1"/>
  <c r="T37" i="1"/>
  <c r="U37" i="1" s="1"/>
  <c r="K37" i="1"/>
  <c r="S37" i="1" s="1"/>
  <c r="J37" i="1"/>
  <c r="R37" i="1" s="1"/>
  <c r="L35" i="1"/>
  <c r="T35" i="1" s="1"/>
  <c r="U35" i="1" s="1"/>
  <c r="N30" i="1"/>
  <c r="N35" i="1"/>
  <c r="N33" i="1"/>
  <c r="J33" i="1"/>
  <c r="R33" i="1" s="1"/>
  <c r="K33" i="1"/>
  <c r="S33" i="1" s="1"/>
  <c r="P33" i="1"/>
  <c r="Q33" i="1"/>
  <c r="T33" i="1"/>
  <c r="U33" i="1" s="1"/>
  <c r="J34" i="1"/>
  <c r="R34" i="1" s="1"/>
  <c r="K34" i="1"/>
  <c r="S34" i="1" s="1"/>
  <c r="P34" i="1"/>
  <c r="Q34" i="1"/>
  <c r="T34" i="1"/>
  <c r="U34" i="1" s="1"/>
  <c r="J35" i="1"/>
  <c r="R35" i="1" s="1"/>
  <c r="K35" i="1"/>
  <c r="S35" i="1" s="1"/>
  <c r="P35" i="1"/>
  <c r="Q35" i="1"/>
  <c r="J36" i="1"/>
  <c r="R36" i="1" s="1"/>
  <c r="K36" i="1"/>
  <c r="S36" i="1" s="1"/>
  <c r="P36" i="1"/>
  <c r="Q36" i="1"/>
  <c r="T36" i="1"/>
  <c r="U36" i="1" s="1"/>
  <c r="P32" i="1"/>
  <c r="Q32" i="1"/>
  <c r="T32" i="1"/>
  <c r="U32" i="1" s="1"/>
  <c r="K32" i="1"/>
  <c r="S32" i="1" s="1"/>
  <c r="J32" i="1"/>
  <c r="R32" i="1" s="1"/>
  <c r="I31" i="1"/>
  <c r="K31" i="1" s="1"/>
  <c r="S31" i="1" s="1"/>
  <c r="H31" i="1"/>
  <c r="J31" i="1" s="1"/>
  <c r="N31" i="1"/>
  <c r="T31" i="1"/>
  <c r="U31" i="1" s="1"/>
  <c r="I30" i="1"/>
  <c r="Q30" i="1" s="1"/>
  <c r="H30" i="1"/>
  <c r="J30" i="1" s="1"/>
  <c r="R30" i="1" s="1"/>
  <c r="L30" i="1"/>
  <c r="T30" i="1" s="1"/>
  <c r="U30" i="1" s="1"/>
  <c r="H29" i="1"/>
  <c r="P29" i="1" s="1"/>
  <c r="N29" i="1"/>
  <c r="I28" i="1"/>
  <c r="K28" i="1" s="1"/>
  <c r="S28" i="1" s="1"/>
  <c r="H28" i="1"/>
  <c r="P28" i="1" s="1"/>
  <c r="L28" i="1"/>
  <c r="N28" i="1"/>
  <c r="H27" i="1"/>
  <c r="J27" i="1" s="1"/>
  <c r="R27" i="1" s="1"/>
  <c r="L27" i="1"/>
  <c r="T27" i="1" s="1"/>
  <c r="U27" i="1" s="1"/>
  <c r="N27" i="1"/>
  <c r="I26" i="1"/>
  <c r="K26" i="1" s="1"/>
  <c r="S26" i="1" s="1"/>
  <c r="H26" i="1"/>
  <c r="P26" i="1" s="1"/>
  <c r="L26" i="1"/>
  <c r="T26" i="1" s="1"/>
  <c r="U26" i="1" s="1"/>
  <c r="N26" i="1"/>
  <c r="H25" i="1"/>
  <c r="J25" i="1" s="1"/>
  <c r="R25" i="1" s="1"/>
  <c r="N25" i="1"/>
  <c r="I24" i="1"/>
  <c r="K24" i="1" s="1"/>
  <c r="S24" i="1" s="1"/>
  <c r="H24" i="1"/>
  <c r="P24" i="1" s="1"/>
  <c r="L24" i="1"/>
  <c r="T24" i="1" s="1"/>
  <c r="U24" i="1" s="1"/>
  <c r="N24" i="1"/>
  <c r="H23" i="1"/>
  <c r="P23" i="1" s="1"/>
  <c r="N23" i="1"/>
  <c r="I22" i="1"/>
  <c r="Q22" i="1" s="1"/>
  <c r="H22" i="1"/>
  <c r="J22" i="1" s="1"/>
  <c r="R22" i="1" s="1"/>
  <c r="L22" i="1"/>
  <c r="T22" i="1" s="1"/>
  <c r="U22" i="1" s="1"/>
  <c r="N22" i="1"/>
  <c r="K23" i="1"/>
  <c r="S23" i="1" s="1"/>
  <c r="K25" i="1"/>
  <c r="S25" i="1" s="1"/>
  <c r="K27" i="1"/>
  <c r="S27" i="1" s="1"/>
  <c r="K29" i="1"/>
  <c r="S29" i="1" s="1"/>
  <c r="K21" i="1"/>
  <c r="S21" i="1" s="1"/>
  <c r="H21" i="1"/>
  <c r="J21" i="1" s="1"/>
  <c r="R21" i="1" s="1"/>
  <c r="L21" i="1"/>
  <c r="T21" i="1" s="1"/>
  <c r="U21" i="1" s="1"/>
  <c r="N21" i="1"/>
  <c r="T29" i="1"/>
  <c r="U29" i="1" s="1"/>
  <c r="Q29" i="1"/>
  <c r="I20" i="1"/>
  <c r="K20" i="1" s="1"/>
  <c r="S20" i="1" s="1"/>
  <c r="N20" i="1"/>
  <c r="J20" i="1"/>
  <c r="R20" i="1" s="1"/>
  <c r="K19" i="1"/>
  <c r="S19" i="1" s="1"/>
  <c r="H19" i="1"/>
  <c r="P19" i="1" s="1"/>
  <c r="N19" i="1"/>
  <c r="K16" i="1"/>
  <c r="S16" i="1" s="1"/>
  <c r="J16" i="1"/>
  <c r="R16" i="1" s="1"/>
  <c r="H15" i="1"/>
  <c r="P15" i="1" s="1"/>
  <c r="T28" i="1"/>
  <c r="U28" i="1" s="1"/>
  <c r="Q27" i="1"/>
  <c r="P27" i="1"/>
  <c r="T20" i="1"/>
  <c r="U20" i="1" s="1"/>
  <c r="T18" i="1"/>
  <c r="U18" i="1" s="1"/>
  <c r="T16" i="1"/>
  <c r="U16" i="1" s="1"/>
  <c r="T17" i="1"/>
  <c r="U17" i="1" s="1"/>
  <c r="K18" i="1"/>
  <c r="S18" i="1" s="1"/>
  <c r="J18" i="1"/>
  <c r="R18" i="1" s="1"/>
  <c r="N18" i="1"/>
  <c r="N17" i="1"/>
  <c r="H17" i="1"/>
  <c r="J17" i="1" s="1"/>
  <c r="R17" i="1" s="1"/>
  <c r="N16" i="1"/>
  <c r="N15" i="1"/>
  <c r="T15" i="1"/>
  <c r="U15" i="1" s="1"/>
  <c r="B12" i="1"/>
  <c r="Q23" i="1"/>
  <c r="S17" i="1"/>
  <c r="S15" i="1"/>
  <c r="P16" i="1"/>
  <c r="Q16" i="1"/>
  <c r="Q17" i="1"/>
  <c r="P18" i="1"/>
  <c r="Q18" i="1"/>
  <c r="Q19" i="1"/>
  <c r="P20" i="1"/>
  <c r="Q21" i="1"/>
  <c r="Q25" i="1"/>
  <c r="Q15" i="1"/>
  <c r="T25" i="1"/>
  <c r="U25" i="1" s="1"/>
  <c r="T19" i="1"/>
  <c r="U19" i="1" s="1"/>
  <c r="T23" i="1"/>
  <c r="U23" i="1" s="1"/>
  <c r="B11" i="1"/>
  <c r="V42" i="1" l="1"/>
  <c r="V45" i="1"/>
  <c r="V46" i="1"/>
  <c r="V44" i="1"/>
  <c r="V43" i="1"/>
  <c r="V32" i="1"/>
  <c r="V41" i="1"/>
  <c r="V38" i="1"/>
  <c r="V34" i="1"/>
  <c r="V39" i="1"/>
  <c r="V40" i="1"/>
  <c r="P31" i="1"/>
  <c r="Q31" i="1"/>
  <c r="V33" i="1"/>
  <c r="V35" i="1"/>
  <c r="V36" i="1"/>
  <c r="V37" i="1"/>
  <c r="V31" i="1"/>
  <c r="P22" i="1"/>
  <c r="R31" i="1"/>
  <c r="V29" i="1"/>
  <c r="Q20" i="1"/>
  <c r="J23" i="1"/>
  <c r="R23" i="1" s="1"/>
  <c r="J28" i="1"/>
  <c r="R28" i="1" s="1"/>
  <c r="Q26" i="1"/>
  <c r="J24" i="1"/>
  <c r="R24" i="1" s="1"/>
  <c r="P25" i="1"/>
  <c r="Q24" i="1"/>
  <c r="K30" i="1"/>
  <c r="S30" i="1" s="1"/>
  <c r="P30" i="1"/>
  <c r="K22" i="1"/>
  <c r="S22" i="1" s="1"/>
  <c r="P21" i="1"/>
  <c r="Q28" i="1"/>
  <c r="J26" i="1"/>
  <c r="R26" i="1" s="1"/>
  <c r="J29" i="1"/>
  <c r="R29" i="1" s="1"/>
  <c r="V28" i="1"/>
  <c r="V30" i="1"/>
  <c r="V27" i="1"/>
  <c r="J19" i="1"/>
  <c r="R19" i="1" s="1"/>
  <c r="V26" i="1"/>
  <c r="V20" i="1"/>
  <c r="V16" i="1"/>
  <c r="V15" i="1"/>
  <c r="V18" i="1"/>
  <c r="J15" i="1"/>
  <c r="R15" i="1" s="1"/>
  <c r="V22" i="1"/>
  <c r="V24" i="1"/>
  <c r="P17" i="1"/>
  <c r="V25" i="1"/>
  <c r="V21" i="1"/>
  <c r="V19" i="1"/>
  <c r="V23" i="1"/>
  <c r="V17" i="1"/>
  <c r="V8" i="1" l="1"/>
  <c r="V6" i="1"/>
  <c r="V7" i="1"/>
</calcChain>
</file>

<file path=xl/sharedStrings.xml><?xml version="1.0" encoding="utf-8"?>
<sst xmlns="http://schemas.openxmlformats.org/spreadsheetml/2006/main" count="211" uniqueCount="66">
  <si>
    <t>PR Sustainability</t>
  </si>
  <si>
    <t>Mx</t>
  </si>
  <si>
    <t xml:space="preserve">f × qL2  </t>
  </si>
  <si>
    <t>unahbängig von EI</t>
  </si>
  <si>
    <t>My</t>
  </si>
  <si>
    <t>f × qL2</t>
  </si>
  <si>
    <t>V</t>
  </si>
  <si>
    <t>f × qL</t>
  </si>
  <si>
    <t>w</t>
  </si>
  <si>
    <t>f × qL4 / EI</t>
  </si>
  <si>
    <t>abhängig von EI</t>
  </si>
  <si>
    <t>f</t>
  </si>
  <si>
    <t>EL</t>
  </si>
  <si>
    <t>kN/m2</t>
  </si>
  <si>
    <t>Einheitslast</t>
  </si>
  <si>
    <t>hPlatte</t>
  </si>
  <si>
    <t>m</t>
  </si>
  <si>
    <t>E</t>
  </si>
  <si>
    <t>I</t>
  </si>
  <si>
    <t>m^4</t>
  </si>
  <si>
    <t>Rand 2</t>
  </si>
  <si>
    <t>Rand 3</t>
  </si>
  <si>
    <t>Rand 4</t>
  </si>
  <si>
    <t>Mx+</t>
  </si>
  <si>
    <t>Mx-</t>
  </si>
  <si>
    <t>My+</t>
  </si>
  <si>
    <t>My-</t>
  </si>
  <si>
    <t>V+</t>
  </si>
  <si>
    <t>V-</t>
  </si>
  <si>
    <t>4S_3x3</t>
  </si>
  <si>
    <t>LL-frei</t>
  </si>
  <si>
    <t>LL-eingespannt</t>
  </si>
  <si>
    <t>4S_5x5</t>
  </si>
  <si>
    <t>4S_6x6</t>
  </si>
  <si>
    <t>4S_7x7</t>
  </si>
  <si>
    <t>4S_8x8</t>
  </si>
  <si>
    <t>4S_10x10</t>
  </si>
  <si>
    <t>4P_3x3</t>
  </si>
  <si>
    <t>4P_5x5</t>
  </si>
  <si>
    <t>4P_8x8</t>
  </si>
  <si>
    <t>Messug 1m Streifen</t>
  </si>
  <si>
    <t>Modelbildung</t>
  </si>
  <si>
    <t>4S_12x12</t>
  </si>
  <si>
    <t>4S_16x16</t>
  </si>
  <si>
    <t>PL-eingespannt</t>
  </si>
  <si>
    <t>drop_beam</t>
  </si>
  <si>
    <t>Wände 0.20m, h = 0.1m, einsenkung blockiert</t>
  </si>
  <si>
    <t>4P_6x6</t>
  </si>
  <si>
    <t>4P_7x7</t>
  </si>
  <si>
    <t>drop_beam Linienlast (Stützstreifen), Schnittgrössen im Stützenstreifen, Deformationen im Feld</t>
  </si>
  <si>
    <t>Stützen Innenfeld von 4x4 Stützenraster, Stützen 0.25cm x 0.25cm, q als konstante Flächenlast, einsekung blockiert, Schnittgrössen im Stützenstreifen, Deformationen im Feld</t>
  </si>
  <si>
    <t>4P_10x10</t>
  </si>
  <si>
    <t>4P_12x12</t>
  </si>
  <si>
    <t>4P_16x16</t>
  </si>
  <si>
    <t>NAME</t>
  </si>
  <si>
    <t>RAENDER</t>
  </si>
  <si>
    <t>LX</t>
  </si>
  <si>
    <t>LY</t>
  </si>
  <si>
    <t>MX_POS</t>
  </si>
  <si>
    <t>MX_NEG</t>
  </si>
  <si>
    <t>MY_POS</t>
  </si>
  <si>
    <t>MY_NEG</t>
  </si>
  <si>
    <t>V_POS</t>
  </si>
  <si>
    <t>W</t>
  </si>
  <si>
    <t>F</t>
  </si>
  <si>
    <t>V_NEG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</si>
</sst>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#,##0.0000"/>
    <numFmt numFmtId="166" formatCode="0.00000000"/>
  </numFmts>
  <fonts count="4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65" fontId="0" fillId="0" borderId="0" xfId="0" applyNumberFormat="1"/>
    <xf numFmtId="0" fontId="0" fillId="0" borderId="1" xfId="0" applyBorder="1"/>
    <xf numFmtId="165" fontId="0" fillId="0" borderId="1" xfId="0" applyNumberFormat="1" applyBorder="1"/>
    <xf numFmtId="164" fontId="0" fillId="0" borderId="1" xfId="0" applyNumberFormat="1" applyBorder="1"/>
    <xf numFmtId="0" fontId="0" fillId="0" borderId="2" xfId="0" applyBorder="1"/>
    <xf numFmtId="165" fontId="0" fillId="0" borderId="2" xfId="0" applyNumberFormat="1" applyBorder="1"/>
    <xf numFmtId="0" fontId="0" fillId="0" borderId="3" xfId="0" applyBorder="1"/>
    <xf numFmtId="164" fontId="0" fillId="0" borderId="3" xfId="0" applyNumberFormat="1" applyBorder="1"/>
    <xf numFmtId="164" fontId="0" fillId="0" borderId="2" xfId="0" applyNumberFormat="1" applyBorder="1"/>
    <xf numFmtId="166" fontId="0" fillId="0" borderId="1" xfId="0" applyNumberFormat="1" applyBorder="1"/>
    <xf numFmtId="166" fontId="0" fillId="0" borderId="0" xfId="0" applyNumberFormat="1"/>
    <xf numFmtId="166" fontId="0" fillId="0" borderId="2" xfId="0" applyNumberFormat="1" applyBorder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7"/>
  <sheetViews>
    <sheetView tabSelected="1" topLeftCell="B13" zoomScale="88" workbookViewId="0">
      <selection activeCell="D37" sqref="D37"/>
    </sheetView>
  </sheetViews>
  <sheetFormatPr baseColWidth="10" defaultColWidth="9" defaultRowHeight="15" x14ac:dyDescent="0.2"/>
  <cols>
    <col min="2" max="2" width="14" customWidth="1"/>
    <col min="3" max="3" width="15" customWidth="1"/>
    <col min="4" max="4" width="14.6640625" customWidth="1"/>
    <col min="5" max="5" width="14.83203125" customWidth="1"/>
    <col min="6" max="13" width="9.1640625" bestFit="1" customWidth="1"/>
    <col min="14" max="14" width="16" customWidth="1"/>
    <col min="15" max="20" width="9.1640625" bestFit="1" customWidth="1"/>
    <col min="21" max="21" width="9.1640625" customWidth="1"/>
    <col min="22" max="22" width="11.6640625" bestFit="1" customWidth="1"/>
  </cols>
  <sheetData>
    <row r="1" spans="1:23" ht="24" x14ac:dyDescent="0.3">
      <c r="A1" s="1" t="s">
        <v>0</v>
      </c>
    </row>
    <row r="3" spans="1:23" x14ac:dyDescent="0.2">
      <c r="A3" t="s">
        <v>1</v>
      </c>
      <c r="B3" t="s">
        <v>2</v>
      </c>
      <c r="C3" t="s">
        <v>3</v>
      </c>
    </row>
    <row r="4" spans="1:23" x14ac:dyDescent="0.2">
      <c r="A4" t="s">
        <v>4</v>
      </c>
      <c r="B4" t="s">
        <v>5</v>
      </c>
      <c r="C4" t="s">
        <v>3</v>
      </c>
    </row>
    <row r="5" spans="1:23" x14ac:dyDescent="0.2">
      <c r="A5" t="s">
        <v>6</v>
      </c>
      <c r="B5" t="s">
        <v>7</v>
      </c>
      <c r="C5" t="s">
        <v>3</v>
      </c>
    </row>
    <row r="6" spans="1:23" x14ac:dyDescent="0.2">
      <c r="A6" t="s">
        <v>8</v>
      </c>
      <c r="B6" t="s">
        <v>9</v>
      </c>
      <c r="C6" t="s">
        <v>10</v>
      </c>
      <c r="V6">
        <f>V15*B9*F15^4/B11/(0.15^3/12)</f>
        <v>-3.1888888888888885E-4</v>
      </c>
    </row>
    <row r="7" spans="1:23" x14ac:dyDescent="0.2">
      <c r="A7" t="s">
        <v>11</v>
      </c>
      <c r="V7">
        <f>V15*B9*F15^4/B11/(0.25^3/12)</f>
        <v>-6.8879999999999991E-5</v>
      </c>
    </row>
    <row r="8" spans="1:23" x14ac:dyDescent="0.2">
      <c r="E8" s="3" t="s">
        <v>41</v>
      </c>
      <c r="V8">
        <f>V15*15*F15^4/B11/(0.15^3/12)</f>
        <v>-4.7833333333333332E-4</v>
      </c>
    </row>
    <row r="9" spans="1:23" x14ac:dyDescent="0.2">
      <c r="A9" t="s">
        <v>12</v>
      </c>
      <c r="B9">
        <v>10</v>
      </c>
      <c r="C9" t="s">
        <v>13</v>
      </c>
      <c r="D9" t="s">
        <v>14</v>
      </c>
      <c r="E9" t="s">
        <v>40</v>
      </c>
    </row>
    <row r="10" spans="1:23" x14ac:dyDescent="0.2">
      <c r="A10" t="s">
        <v>15</v>
      </c>
      <c r="B10">
        <v>0.25</v>
      </c>
      <c r="C10" t="s">
        <v>16</v>
      </c>
      <c r="E10" t="s">
        <v>46</v>
      </c>
    </row>
    <row r="11" spans="1:23" x14ac:dyDescent="0.2">
      <c r="A11" t="s">
        <v>17</v>
      </c>
      <c r="B11">
        <f>32.1*10^6</f>
        <v>32100000</v>
      </c>
      <c r="C11" t="s">
        <v>13</v>
      </c>
      <c r="E11" t="s">
        <v>50</v>
      </c>
    </row>
    <row r="12" spans="1:23" x14ac:dyDescent="0.2">
      <c r="A12" t="s">
        <v>18</v>
      </c>
      <c r="B12">
        <f>1*B10^3/12</f>
        <v>1.3020833333333333E-3</v>
      </c>
      <c r="C12" t="s">
        <v>19</v>
      </c>
      <c r="E12" t="s">
        <v>49</v>
      </c>
    </row>
    <row r="14" spans="1:23" x14ac:dyDescent="0.2">
      <c r="A14" t="s">
        <v>54</v>
      </c>
      <c r="B14" t="s">
        <v>55</v>
      </c>
      <c r="C14" t="s">
        <v>20</v>
      </c>
      <c r="D14" t="s">
        <v>21</v>
      </c>
      <c r="E14" t="s">
        <v>22</v>
      </c>
      <c r="F14" t="s">
        <v>56</v>
      </c>
      <c r="G14" t="s">
        <v>57</v>
      </c>
      <c r="H14" t="s">
        <v>23</v>
      </c>
      <c r="I14" t="s">
        <v>24</v>
      </c>
      <c r="J14" t="s">
        <v>25</v>
      </c>
      <c r="K14" t="s">
        <v>26</v>
      </c>
      <c r="L14" t="s">
        <v>27</v>
      </c>
      <c r="M14" t="s">
        <v>28</v>
      </c>
      <c r="N14" t="s">
        <v>8</v>
      </c>
      <c r="O14" t="s">
        <v>11</v>
      </c>
      <c r="P14" t="s">
        <v>58</v>
      </c>
      <c r="Q14" t="s">
        <v>59</v>
      </c>
      <c r="R14" t="s">
        <v>60</v>
      </c>
      <c r="S14" t="s">
        <v>61</v>
      </c>
      <c r="T14" t="s">
        <v>62</v>
      </c>
      <c r="U14" t="s">
        <v>65</v>
      </c>
      <c r="V14" t="s">
        <v>63</v>
      </c>
      <c r="W14" t="s">
        <v>64</v>
      </c>
    </row>
    <row r="15" spans="1:23" s="5" customFormat="1" x14ac:dyDescent="0.2">
      <c r="A15" s="17" t="s">
        <v>29</v>
      </c>
      <c r="B15" s="5" t="s">
        <v>30</v>
      </c>
      <c r="C15" s="5" t="s">
        <v>30</v>
      </c>
      <c r="D15" s="5" t="s">
        <v>30</v>
      </c>
      <c r="E15" s="5" t="s">
        <v>30</v>
      </c>
      <c r="F15" s="5">
        <v>3</v>
      </c>
      <c r="G15" s="5">
        <v>3</v>
      </c>
      <c r="H15" s="6">
        <f>3.4171+0.53868</f>
        <v>3.9557799999999999</v>
      </c>
      <c r="I15" s="6">
        <v>0</v>
      </c>
      <c r="J15" s="6">
        <f t="shared" ref="J15:J21" si="0">H15</f>
        <v>3.9557799999999999</v>
      </c>
      <c r="K15" s="6">
        <v>0</v>
      </c>
      <c r="L15" s="6">
        <v>9.3140199999999993</v>
      </c>
      <c r="M15" s="6">
        <v>0</v>
      </c>
      <c r="N15" s="13">
        <f>-0.06888/1000</f>
        <v>-6.8879999999999991E-5</v>
      </c>
      <c r="O15" s="5">
        <v>0</v>
      </c>
      <c r="P15" s="5">
        <f>H15/($B$9*$F15^2)</f>
        <v>4.3953111111111109E-2</v>
      </c>
      <c r="Q15" s="5">
        <f>I15/($B$9*$F15^2)</f>
        <v>0</v>
      </c>
      <c r="R15" s="5">
        <f>J15/($B$9*$G15^2)</f>
        <v>4.3953111111111109E-2</v>
      </c>
      <c r="S15" s="5">
        <f>K15/($B$9*$G15^2)</f>
        <v>0</v>
      </c>
      <c r="T15" s="5">
        <f t="shared" ref="T15:T32" si="1">L15/($B$9*F15)</f>
        <v>0.31046733333333332</v>
      </c>
      <c r="U15" s="5">
        <f>-T15</f>
        <v>-0.31046733333333332</v>
      </c>
      <c r="V15" s="7">
        <f t="shared" ref="V15:V32" si="2">N15*$B$11*$B$12/($B$9*F15^4)</f>
        <v>-3.5542824074074066E-3</v>
      </c>
      <c r="W15" s="5">
        <v>0</v>
      </c>
    </row>
    <row r="16" spans="1:23" x14ac:dyDescent="0.2">
      <c r="A16" s="16" t="s">
        <v>29</v>
      </c>
      <c r="B16" t="s">
        <v>31</v>
      </c>
      <c r="C16" t="s">
        <v>31</v>
      </c>
      <c r="D16" t="s">
        <v>31</v>
      </c>
      <c r="E16" t="s">
        <v>31</v>
      </c>
      <c r="F16">
        <v>3</v>
      </c>
      <c r="G16">
        <v>3</v>
      </c>
      <c r="H16" s="4">
        <v>1.70871</v>
      </c>
      <c r="I16" s="4">
        <v>-4.2619100000000003</v>
      </c>
      <c r="J16" s="4">
        <f t="shared" si="0"/>
        <v>1.70871</v>
      </c>
      <c r="K16" s="4">
        <f>I16</f>
        <v>-4.2619100000000003</v>
      </c>
      <c r="L16" s="4">
        <v>11.344569999999999</v>
      </c>
      <c r="M16" s="4">
        <v>0</v>
      </c>
      <c r="N16" s="14">
        <f>-0.02376/1000</f>
        <v>-2.376E-5</v>
      </c>
      <c r="O16">
        <v>0</v>
      </c>
      <c r="P16">
        <f t="shared" ref="P16:P25" si="3">H16/($B$9*$F16^2)</f>
        <v>1.8985666666666665E-2</v>
      </c>
      <c r="Q16">
        <f t="shared" ref="Q16:Q25" si="4">I16/($B$9*$F16^2)</f>
        <v>-4.7354555555555559E-2</v>
      </c>
      <c r="R16">
        <f t="shared" ref="R16:R25" si="5">J16/($B$9*$G16^2)</f>
        <v>1.8985666666666665E-2</v>
      </c>
      <c r="S16">
        <f t="shared" ref="S16:S25" si="6">K16/($B$9*$G16^2)</f>
        <v>-4.7354555555555559E-2</v>
      </c>
      <c r="T16" s="5">
        <f t="shared" si="1"/>
        <v>0.37815233333333331</v>
      </c>
      <c r="U16" s="5">
        <f t="shared" ref="U16:U46" si="7">-T16</f>
        <v>-0.37815233333333331</v>
      </c>
      <c r="V16" s="7">
        <f t="shared" si="2"/>
        <v>-1.2260416666666667E-3</v>
      </c>
      <c r="W16" s="5">
        <v>0</v>
      </c>
    </row>
    <row r="17" spans="1:23" s="5" customFormat="1" x14ac:dyDescent="0.2">
      <c r="A17" s="16" t="s">
        <v>32</v>
      </c>
      <c r="B17" s="5" t="s">
        <v>30</v>
      </c>
      <c r="C17" s="5" t="s">
        <v>30</v>
      </c>
      <c r="D17" s="5" t="s">
        <v>30</v>
      </c>
      <c r="E17" s="5" t="s">
        <v>30</v>
      </c>
      <c r="F17" s="5">
        <v>5</v>
      </c>
      <c r="G17" s="5">
        <v>5</v>
      </c>
      <c r="H17" s="6">
        <f>10.10929+0.93795</f>
        <v>11.04724</v>
      </c>
      <c r="I17" s="6">
        <v>0</v>
      </c>
      <c r="J17" s="6">
        <f t="shared" si="0"/>
        <v>11.04724</v>
      </c>
      <c r="K17" s="6">
        <v>0</v>
      </c>
      <c r="L17" s="6">
        <v>16.170300000000001</v>
      </c>
      <c r="M17" s="6">
        <v>0</v>
      </c>
      <c r="N17" s="13">
        <f>-0.54944/1000</f>
        <v>-5.4944E-4</v>
      </c>
      <c r="O17" s="5">
        <v>0</v>
      </c>
      <c r="P17" s="5">
        <f t="shared" si="3"/>
        <v>4.4188959999999999E-2</v>
      </c>
      <c r="Q17" s="5">
        <f t="shared" si="4"/>
        <v>0</v>
      </c>
      <c r="R17" s="5">
        <f t="shared" si="5"/>
        <v>4.4188959999999999E-2</v>
      </c>
      <c r="S17" s="5">
        <f t="shared" si="6"/>
        <v>0</v>
      </c>
      <c r="T17" s="5">
        <f t="shared" si="1"/>
        <v>0.32340600000000003</v>
      </c>
      <c r="U17" s="5">
        <f t="shared" si="7"/>
        <v>-0.32340600000000003</v>
      </c>
      <c r="V17" s="7">
        <f t="shared" si="2"/>
        <v>-3.6743800000000001E-3</v>
      </c>
      <c r="W17" s="5">
        <v>0</v>
      </c>
    </row>
    <row r="18" spans="1:23" x14ac:dyDescent="0.2">
      <c r="A18" s="16" t="s">
        <v>32</v>
      </c>
      <c r="B18" t="s">
        <v>31</v>
      </c>
      <c r="C18" t="s">
        <v>31</v>
      </c>
      <c r="D18" t="s">
        <v>31</v>
      </c>
      <c r="E18" t="s">
        <v>31</v>
      </c>
      <c r="F18">
        <v>5</v>
      </c>
      <c r="G18">
        <v>5</v>
      </c>
      <c r="H18" s="4">
        <v>5.00718</v>
      </c>
      <c r="I18" s="4">
        <v>-12.472670000000001</v>
      </c>
      <c r="J18" s="4">
        <f t="shared" si="0"/>
        <v>5.00718</v>
      </c>
      <c r="K18" s="4">
        <f>I18</f>
        <v>-12.472670000000001</v>
      </c>
      <c r="L18" s="4">
        <v>20.443629999999999</v>
      </c>
      <c r="M18" s="4">
        <v>0</v>
      </c>
      <c r="N18" s="14">
        <f>-0.18144/1000</f>
        <v>-1.8144E-4</v>
      </c>
      <c r="O18">
        <v>0</v>
      </c>
      <c r="P18">
        <f t="shared" si="3"/>
        <v>2.002872E-2</v>
      </c>
      <c r="Q18">
        <f t="shared" si="4"/>
        <v>-4.9890680000000007E-2</v>
      </c>
      <c r="R18">
        <f t="shared" si="5"/>
        <v>2.002872E-2</v>
      </c>
      <c r="S18">
        <f>K18/($B$9*$G18^2)</f>
        <v>-4.9890680000000007E-2</v>
      </c>
      <c r="T18" s="5">
        <f t="shared" si="1"/>
        <v>0.40887259999999997</v>
      </c>
      <c r="U18" s="5">
        <f t="shared" si="7"/>
        <v>-0.40887259999999997</v>
      </c>
      <c r="V18" s="7">
        <f t="shared" si="2"/>
        <v>-1.21338E-3</v>
      </c>
      <c r="W18" s="5">
        <v>0</v>
      </c>
    </row>
    <row r="19" spans="1:23" s="5" customFormat="1" x14ac:dyDescent="0.2">
      <c r="A19" s="16" t="s">
        <v>33</v>
      </c>
      <c r="B19" s="5" t="s">
        <v>30</v>
      </c>
      <c r="C19" s="5" t="s">
        <v>30</v>
      </c>
      <c r="D19" s="5" t="s">
        <v>30</v>
      </c>
      <c r="E19" s="5" t="s">
        <v>30</v>
      </c>
      <c r="F19" s="5">
        <v>6</v>
      </c>
      <c r="G19" s="5">
        <v>6</v>
      </c>
      <c r="H19" s="6">
        <f>14.7404+1.13432</f>
        <v>15.87472</v>
      </c>
      <c r="I19" s="6">
        <v>0</v>
      </c>
      <c r="J19" s="6">
        <f t="shared" si="0"/>
        <v>15.87472</v>
      </c>
      <c r="K19" s="6">
        <f>I19</f>
        <v>0</v>
      </c>
      <c r="L19" s="6">
        <v>19.553319999999999</v>
      </c>
      <c r="M19" s="6">
        <v>0</v>
      </c>
      <c r="N19" s="13">
        <f>-1.16044/1000</f>
        <v>-1.16044E-3</v>
      </c>
      <c r="O19" s="5">
        <v>0</v>
      </c>
      <c r="P19" s="5">
        <f t="shared" si="3"/>
        <v>4.4096444444444445E-2</v>
      </c>
      <c r="Q19" s="5">
        <f t="shared" si="4"/>
        <v>0</v>
      </c>
      <c r="R19" s="5">
        <f t="shared" si="5"/>
        <v>4.4096444444444445E-2</v>
      </c>
      <c r="S19" s="5">
        <f t="shared" si="6"/>
        <v>0</v>
      </c>
      <c r="T19" s="5">
        <f t="shared" si="1"/>
        <v>0.32588866666666666</v>
      </c>
      <c r="U19" s="5">
        <f t="shared" si="7"/>
        <v>-0.32588866666666666</v>
      </c>
      <c r="V19" s="7">
        <f t="shared" si="2"/>
        <v>-3.7424973476080248E-3</v>
      </c>
      <c r="W19" s="5">
        <v>0</v>
      </c>
    </row>
    <row r="20" spans="1:23" s="8" customFormat="1" x14ac:dyDescent="0.2">
      <c r="A20" s="16" t="s">
        <v>33</v>
      </c>
      <c r="B20" s="8" t="s">
        <v>31</v>
      </c>
      <c r="C20" s="8" t="s">
        <v>31</v>
      </c>
      <c r="D20" s="8" t="s">
        <v>31</v>
      </c>
      <c r="E20" s="8" t="s">
        <v>31</v>
      </c>
      <c r="F20" s="8">
        <v>6</v>
      </c>
      <c r="G20" s="8">
        <v>6</v>
      </c>
      <c r="H20" s="9">
        <v>7.2764800000000003</v>
      </c>
      <c r="I20" s="9">
        <f>-18.10844</f>
        <v>-18.108440000000002</v>
      </c>
      <c r="J20" s="9">
        <f t="shared" si="0"/>
        <v>7.2764800000000003</v>
      </c>
      <c r="K20" s="9">
        <f>I20</f>
        <v>-18.108440000000002</v>
      </c>
      <c r="L20" s="9">
        <v>24.885580000000001</v>
      </c>
      <c r="M20" s="9">
        <v>0</v>
      </c>
      <c r="N20" s="15">
        <f>-0.38088/1000</f>
        <v>-3.8088E-4</v>
      </c>
      <c r="O20" s="8">
        <v>0</v>
      </c>
      <c r="P20" s="8">
        <f t="shared" si="3"/>
        <v>2.0212444444444446E-2</v>
      </c>
      <c r="Q20" s="8">
        <f t="shared" si="4"/>
        <v>-5.0301222222222226E-2</v>
      </c>
      <c r="R20" s="8">
        <f t="shared" si="5"/>
        <v>2.0212444444444446E-2</v>
      </c>
      <c r="S20" s="8">
        <f t="shared" si="6"/>
        <v>-5.0301222222222226E-2</v>
      </c>
      <c r="T20" s="10">
        <f t="shared" si="1"/>
        <v>0.41475966666666669</v>
      </c>
      <c r="U20" s="5">
        <f t="shared" si="7"/>
        <v>-0.41475966666666669</v>
      </c>
      <c r="V20" s="11">
        <f t="shared" si="2"/>
        <v>-1.2283637152777777E-3</v>
      </c>
      <c r="W20" s="5">
        <v>0</v>
      </c>
    </row>
    <row r="21" spans="1:23" x14ac:dyDescent="0.2">
      <c r="A21" s="16" t="s">
        <v>34</v>
      </c>
      <c r="B21" t="s">
        <v>30</v>
      </c>
      <c r="C21" t="s">
        <v>30</v>
      </c>
      <c r="D21" t="s">
        <v>30</v>
      </c>
      <c r="E21" t="s">
        <v>30</v>
      </c>
      <c r="F21">
        <v>7</v>
      </c>
      <c r="G21">
        <v>7</v>
      </c>
      <c r="H21" s="4">
        <f>20.23973+1.33314</f>
        <v>21.572870000000002</v>
      </c>
      <c r="I21" s="4">
        <v>0</v>
      </c>
      <c r="J21" s="4">
        <f t="shared" si="0"/>
        <v>21.572870000000002</v>
      </c>
      <c r="K21" s="4">
        <f>I21</f>
        <v>0</v>
      </c>
      <c r="L21" s="4">
        <f>22.9638</f>
        <v>22.963799999999999</v>
      </c>
      <c r="M21" s="4">
        <v>0</v>
      </c>
      <c r="N21" s="14">
        <f>-2.16588/1000</f>
        <v>-2.1658800000000002E-3</v>
      </c>
      <c r="O21">
        <v>0</v>
      </c>
      <c r="P21">
        <f t="shared" si="3"/>
        <v>4.4026265306122456E-2</v>
      </c>
      <c r="Q21">
        <f t="shared" si="4"/>
        <v>0</v>
      </c>
      <c r="R21">
        <f t="shared" si="5"/>
        <v>4.4026265306122456E-2</v>
      </c>
      <c r="S21">
        <f t="shared" si="6"/>
        <v>0</v>
      </c>
      <c r="T21">
        <f t="shared" si="1"/>
        <v>0.32805428571428569</v>
      </c>
      <c r="U21" s="5">
        <f t="shared" si="7"/>
        <v>-0.32805428571428569</v>
      </c>
      <c r="V21" s="2">
        <f t="shared" si="2"/>
        <v>-3.7703879893794252E-3</v>
      </c>
      <c r="W21" s="5">
        <v>0</v>
      </c>
    </row>
    <row r="22" spans="1:23" s="8" customFormat="1" x14ac:dyDescent="0.2">
      <c r="A22" s="16" t="s">
        <v>34</v>
      </c>
      <c r="B22" s="8" t="s">
        <v>31</v>
      </c>
      <c r="C22" s="8" t="s">
        <v>31</v>
      </c>
      <c r="D22" s="8" t="s">
        <v>31</v>
      </c>
      <c r="E22" s="8" t="s">
        <v>31</v>
      </c>
      <c r="F22" s="8">
        <v>7</v>
      </c>
      <c r="G22" s="8">
        <v>7</v>
      </c>
      <c r="H22" s="9">
        <f>9.95754</f>
        <v>9.9575399999999998</v>
      </c>
      <c r="I22" s="9">
        <f>-24.7858</f>
        <v>-24.785799999999998</v>
      </c>
      <c r="J22" s="9">
        <f t="shared" ref="J22:J30" si="8">H22</f>
        <v>9.9575399999999998</v>
      </c>
      <c r="K22" s="9">
        <f t="shared" ref="K22:K30" si="9">I22</f>
        <v>-24.785799999999998</v>
      </c>
      <c r="L22" s="9">
        <f>29.37931</f>
        <v>29.37931</v>
      </c>
      <c r="M22" s="9">
        <v>0</v>
      </c>
      <c r="N22" s="15">
        <f>-0.70572/1000</f>
        <v>-7.0572000000000007E-4</v>
      </c>
      <c r="O22" s="8">
        <v>0</v>
      </c>
      <c r="P22" s="8">
        <f t="shared" si="3"/>
        <v>2.0321510204081631E-2</v>
      </c>
      <c r="Q22" s="8">
        <f t="shared" si="4"/>
        <v>-5.0583265306122442E-2</v>
      </c>
      <c r="R22" s="8">
        <f t="shared" si="5"/>
        <v>2.0321510204081631E-2</v>
      </c>
      <c r="S22" s="8">
        <f t="shared" si="6"/>
        <v>-5.0583265306122442E-2</v>
      </c>
      <c r="T22" s="8">
        <f t="shared" si="1"/>
        <v>0.41970442857142859</v>
      </c>
      <c r="U22" s="5">
        <f t="shared" si="7"/>
        <v>-0.41970442857142859</v>
      </c>
      <c r="V22" s="12">
        <f t="shared" si="2"/>
        <v>-1.2285252238650561E-3</v>
      </c>
      <c r="W22" s="5">
        <v>0</v>
      </c>
    </row>
    <row r="23" spans="1:23" x14ac:dyDescent="0.2">
      <c r="A23" s="16" t="s">
        <v>35</v>
      </c>
      <c r="B23" t="s">
        <v>30</v>
      </c>
      <c r="C23" t="s">
        <v>30</v>
      </c>
      <c r="D23" t="s">
        <v>30</v>
      </c>
      <c r="E23" t="s">
        <v>30</v>
      </c>
      <c r="F23">
        <v>8</v>
      </c>
      <c r="G23">
        <v>8</v>
      </c>
      <c r="H23" s="4">
        <f>26.60497+1.52897</f>
        <v>28.133940000000003</v>
      </c>
      <c r="I23" s="4">
        <v>0</v>
      </c>
      <c r="J23" s="4">
        <f t="shared" si="8"/>
        <v>28.133940000000003</v>
      </c>
      <c r="K23" s="4">
        <f t="shared" si="9"/>
        <v>0</v>
      </c>
      <c r="L23" s="4">
        <v>26.341100000000001</v>
      </c>
      <c r="M23" s="4">
        <v>0</v>
      </c>
      <c r="N23" s="14">
        <f>-3.7041/1000</f>
        <v>-3.7041000000000001E-3</v>
      </c>
      <c r="O23">
        <v>0</v>
      </c>
      <c r="P23">
        <f>H23/($B$9*$F23^2)</f>
        <v>4.3959281250000003E-2</v>
      </c>
      <c r="Q23">
        <f>I23/($B$9*$F23^2)</f>
        <v>0</v>
      </c>
      <c r="R23">
        <f t="shared" si="5"/>
        <v>4.3959281250000003E-2</v>
      </c>
      <c r="S23">
        <f t="shared" si="6"/>
        <v>0</v>
      </c>
      <c r="T23">
        <f t="shared" si="1"/>
        <v>0.32926375000000002</v>
      </c>
      <c r="U23" s="5">
        <f t="shared" si="7"/>
        <v>-0.32926375000000002</v>
      </c>
      <c r="V23" s="2">
        <f t="shared" si="2"/>
        <v>-3.7797803878784177E-3</v>
      </c>
      <c r="W23" s="5">
        <v>0</v>
      </c>
    </row>
    <row r="24" spans="1:23" s="8" customFormat="1" x14ac:dyDescent="0.2">
      <c r="A24" s="16" t="s">
        <v>35</v>
      </c>
      <c r="B24" s="8" t="s">
        <v>31</v>
      </c>
      <c r="C24" s="8" t="s">
        <v>31</v>
      </c>
      <c r="D24" s="8" t="s">
        <v>31</v>
      </c>
      <c r="E24" s="8" t="s">
        <v>31</v>
      </c>
      <c r="F24" s="8">
        <v>8</v>
      </c>
      <c r="G24" s="8">
        <v>8</v>
      </c>
      <c r="H24" s="9">
        <f>13.04664</f>
        <v>13.04664</v>
      </c>
      <c r="I24" s="9">
        <f>-32.48618</f>
        <v>-32.486179999999997</v>
      </c>
      <c r="J24" s="9">
        <f t="shared" si="8"/>
        <v>13.04664</v>
      </c>
      <c r="K24" s="9">
        <f t="shared" si="9"/>
        <v>-32.486179999999997</v>
      </c>
      <c r="L24" s="9">
        <f>33.80918</f>
        <v>33.809179999999998</v>
      </c>
      <c r="M24" s="9">
        <v>0</v>
      </c>
      <c r="N24" s="15">
        <f>-1.19825/1000</f>
        <v>-1.1982500000000001E-3</v>
      </c>
      <c r="O24" s="8">
        <v>0</v>
      </c>
      <c r="P24" s="8">
        <f t="shared" si="3"/>
        <v>2.0385375000000001E-2</v>
      </c>
      <c r="Q24" s="8">
        <f t="shared" si="4"/>
        <v>-5.0759656249999993E-2</v>
      </c>
      <c r="R24" s="8">
        <f t="shared" si="5"/>
        <v>2.0385375000000001E-2</v>
      </c>
      <c r="S24" s="8">
        <f t="shared" si="6"/>
        <v>-5.0759656249999993E-2</v>
      </c>
      <c r="T24" s="8">
        <f t="shared" si="1"/>
        <v>0.42261474999999998</v>
      </c>
      <c r="U24" s="5">
        <f t="shared" si="7"/>
        <v>-0.42261474999999998</v>
      </c>
      <c r="V24" s="12">
        <f t="shared" si="2"/>
        <v>-1.2227320671081543E-3</v>
      </c>
      <c r="W24" s="5">
        <v>0</v>
      </c>
    </row>
    <row r="25" spans="1:23" x14ac:dyDescent="0.2">
      <c r="A25" s="16" t="s">
        <v>36</v>
      </c>
      <c r="B25" t="s">
        <v>30</v>
      </c>
      <c r="C25" t="s">
        <v>30</v>
      </c>
      <c r="D25" t="s">
        <v>30</v>
      </c>
      <c r="E25" t="s">
        <v>30</v>
      </c>
      <c r="F25">
        <v>10</v>
      </c>
      <c r="G25">
        <v>10</v>
      </c>
      <c r="H25" s="4">
        <f>41.907+1.92325</f>
        <v>43.830249999999999</v>
      </c>
      <c r="I25" s="4">
        <v>0</v>
      </c>
      <c r="J25" s="4">
        <f t="shared" si="8"/>
        <v>43.830249999999999</v>
      </c>
      <c r="K25" s="4">
        <f t="shared" si="9"/>
        <v>0</v>
      </c>
      <c r="L25" s="4">
        <v>33.111669999999997</v>
      </c>
      <c r="M25" s="4">
        <v>0</v>
      </c>
      <c r="N25" s="14">
        <f>-9.14309/1000</f>
        <v>-9.1430900000000013E-3</v>
      </c>
      <c r="O25">
        <v>0</v>
      </c>
      <c r="P25">
        <f t="shared" si="3"/>
        <v>4.3830250000000001E-2</v>
      </c>
      <c r="Q25">
        <f t="shared" si="4"/>
        <v>0</v>
      </c>
      <c r="R25">
        <f t="shared" si="5"/>
        <v>4.3830250000000001E-2</v>
      </c>
      <c r="S25">
        <f t="shared" si="6"/>
        <v>0</v>
      </c>
      <c r="T25">
        <f t="shared" si="1"/>
        <v>0.33111669999999999</v>
      </c>
      <c r="U25" s="5">
        <f t="shared" si="7"/>
        <v>-0.33111669999999999</v>
      </c>
      <c r="V25" s="2">
        <f t="shared" si="2"/>
        <v>-3.8215258984374998E-3</v>
      </c>
      <c r="W25" s="5">
        <v>0</v>
      </c>
    </row>
    <row r="26" spans="1:23" s="8" customFormat="1" x14ac:dyDescent="0.2">
      <c r="A26" s="16" t="s">
        <v>36</v>
      </c>
      <c r="B26" s="8" t="s">
        <v>31</v>
      </c>
      <c r="C26" s="8" t="s">
        <v>31</v>
      </c>
      <c r="D26" s="8" t="s">
        <v>31</v>
      </c>
      <c r="E26" s="8" t="s">
        <v>31</v>
      </c>
      <c r="F26" s="8">
        <v>10</v>
      </c>
      <c r="G26" s="8">
        <v>10</v>
      </c>
      <c r="H26" s="9">
        <f>20.47108</f>
        <v>20.471080000000001</v>
      </c>
      <c r="I26" s="9">
        <f>-50.96157</f>
        <v>-50.961570000000002</v>
      </c>
      <c r="J26" s="9">
        <f t="shared" si="8"/>
        <v>20.471080000000001</v>
      </c>
      <c r="K26" s="9">
        <f t="shared" si="9"/>
        <v>-50.961570000000002</v>
      </c>
      <c r="L26" s="9">
        <f>42.6872</f>
        <v>42.687199999999997</v>
      </c>
      <c r="M26" s="9">
        <v>0</v>
      </c>
      <c r="N26" s="15">
        <f>-2.93961/1000</f>
        <v>-2.9396100000000001E-3</v>
      </c>
      <c r="O26" s="8">
        <v>0</v>
      </c>
      <c r="P26" s="8">
        <f t="shared" ref="P26:P27" si="10">H26/($B$9*$F26^2)</f>
        <v>2.0471079999999999E-2</v>
      </c>
      <c r="Q26" s="8">
        <f t="shared" ref="Q26:Q27" si="11">I26/($B$9*$F26^2)</f>
        <v>-5.0961570000000005E-2</v>
      </c>
      <c r="R26" s="8">
        <f t="shared" ref="R26:R27" si="12">J26/($B$9*$G26^2)</f>
        <v>2.0471079999999999E-2</v>
      </c>
      <c r="S26" s="8">
        <f t="shared" ref="S26:S27" si="13">K26/($B$9*$G26^2)</f>
        <v>-5.0961570000000005E-2</v>
      </c>
      <c r="T26" s="8">
        <f t="shared" si="1"/>
        <v>0.42687199999999997</v>
      </c>
      <c r="U26" s="5">
        <f t="shared" si="7"/>
        <v>-0.42687199999999997</v>
      </c>
      <c r="V26" s="12">
        <f t="shared" si="2"/>
        <v>-1.2286651171874998E-3</v>
      </c>
      <c r="W26" s="5">
        <v>0</v>
      </c>
    </row>
    <row r="27" spans="1:23" x14ac:dyDescent="0.2">
      <c r="A27" s="16" t="s">
        <v>42</v>
      </c>
      <c r="B27" t="s">
        <v>30</v>
      </c>
      <c r="C27" t="s">
        <v>30</v>
      </c>
      <c r="D27" t="s">
        <v>30</v>
      </c>
      <c r="E27" t="s">
        <v>30</v>
      </c>
      <c r="F27">
        <v>12</v>
      </c>
      <c r="G27">
        <v>12</v>
      </c>
      <c r="H27" s="4">
        <f>60.66147+2.31532</f>
        <v>62.976790000000001</v>
      </c>
      <c r="I27" s="4">
        <v>0</v>
      </c>
      <c r="J27" s="4">
        <f t="shared" si="8"/>
        <v>62.976790000000001</v>
      </c>
      <c r="K27" s="4">
        <f t="shared" si="9"/>
        <v>0</v>
      </c>
      <c r="L27" s="4">
        <f>39.85929</f>
        <v>39.859290000000001</v>
      </c>
      <c r="M27" s="4">
        <v>0</v>
      </c>
      <c r="N27" s="14">
        <f>-19.05925/1000</f>
        <v>-1.905925E-2</v>
      </c>
      <c r="O27">
        <v>0</v>
      </c>
      <c r="P27">
        <f t="shared" si="10"/>
        <v>4.3733881944444448E-2</v>
      </c>
      <c r="Q27">
        <f t="shared" si="11"/>
        <v>0</v>
      </c>
      <c r="R27">
        <f t="shared" si="12"/>
        <v>4.3733881944444448E-2</v>
      </c>
      <c r="S27">
        <f t="shared" si="13"/>
        <v>0</v>
      </c>
      <c r="T27">
        <f t="shared" si="1"/>
        <v>0.33216075</v>
      </c>
      <c r="U27" s="5">
        <f t="shared" si="7"/>
        <v>-0.33216075</v>
      </c>
      <c r="V27" s="2">
        <f t="shared" si="2"/>
        <v>-3.8417105027187021E-3</v>
      </c>
      <c r="W27" s="5">
        <v>0</v>
      </c>
    </row>
    <row r="28" spans="1:23" s="8" customFormat="1" x14ac:dyDescent="0.2">
      <c r="A28" s="16" t="s">
        <v>42</v>
      </c>
      <c r="B28" s="8" t="s">
        <v>31</v>
      </c>
      <c r="C28" s="8" t="s">
        <v>31</v>
      </c>
      <c r="D28" s="8" t="s">
        <v>31</v>
      </c>
      <c r="E28" s="8" t="s">
        <v>31</v>
      </c>
      <c r="F28" s="8">
        <v>12</v>
      </c>
      <c r="G28" s="8">
        <v>12</v>
      </c>
      <c r="H28" s="9">
        <f>29.54102</f>
        <v>29.54102</v>
      </c>
      <c r="I28" s="9">
        <f>-73.54312</f>
        <v>-73.543120000000002</v>
      </c>
      <c r="J28" s="9">
        <f t="shared" si="8"/>
        <v>29.54102</v>
      </c>
      <c r="K28" s="9">
        <f t="shared" si="9"/>
        <v>-73.543120000000002</v>
      </c>
      <c r="L28" s="9">
        <f>51.5187</f>
        <v>51.518700000000003</v>
      </c>
      <c r="M28" s="9">
        <v>0</v>
      </c>
      <c r="N28" s="15">
        <f>-6.09574/1000</f>
        <v>-6.0957400000000005E-3</v>
      </c>
      <c r="O28" s="8">
        <v>0</v>
      </c>
      <c r="P28" s="8">
        <f t="shared" ref="P28:P29" si="14">H28/($B$9*$F28^2)</f>
        <v>2.0514597222222222E-2</v>
      </c>
      <c r="Q28" s="8">
        <f t="shared" ref="Q28:Q29" si="15">I28/($B$9*$F28^2)</f>
        <v>-5.1071611111111109E-2</v>
      </c>
      <c r="R28" s="8">
        <f t="shared" ref="R28:R29" si="16">J28/($B$9*$G28^2)</f>
        <v>2.0514597222222222E-2</v>
      </c>
      <c r="S28" s="8">
        <f t="shared" ref="S28:S29" si="17">K28/($B$9*$G28^2)</f>
        <v>-5.1071611111111109E-2</v>
      </c>
      <c r="T28" s="8">
        <f t="shared" si="1"/>
        <v>0.4293225</v>
      </c>
      <c r="U28" s="5">
        <f t="shared" si="7"/>
        <v>-0.4293225</v>
      </c>
      <c r="V28" s="12">
        <f t="shared" si="2"/>
        <v>-1.2286983160325041E-3</v>
      </c>
      <c r="W28" s="5">
        <v>0</v>
      </c>
    </row>
    <row r="29" spans="1:23" x14ac:dyDescent="0.2">
      <c r="A29" s="16" t="s">
        <v>43</v>
      </c>
      <c r="B29" t="s">
        <v>30</v>
      </c>
      <c r="C29" t="s">
        <v>30</v>
      </c>
      <c r="D29" t="s">
        <v>30</v>
      </c>
      <c r="E29" t="s">
        <v>30</v>
      </c>
      <c r="F29">
        <v>16</v>
      </c>
      <c r="G29">
        <v>16</v>
      </c>
      <c r="H29" s="4">
        <f>108.51485+3.10222</f>
        <v>111.61707</v>
      </c>
      <c r="I29" s="4">
        <v>0</v>
      </c>
      <c r="J29" s="4">
        <f t="shared" si="8"/>
        <v>111.61707</v>
      </c>
      <c r="K29" s="4">
        <f t="shared" si="9"/>
        <v>0</v>
      </c>
      <c r="L29" s="4">
        <v>53.384030000000003</v>
      </c>
      <c r="M29" s="4">
        <v>0</v>
      </c>
      <c r="N29" s="14">
        <f>-60.63465/1000</f>
        <v>-6.0634649999999998E-2</v>
      </c>
      <c r="O29">
        <v>0</v>
      </c>
      <c r="P29">
        <f t="shared" si="14"/>
        <v>4.3600417968749999E-2</v>
      </c>
      <c r="Q29">
        <f t="shared" si="15"/>
        <v>0</v>
      </c>
      <c r="R29">
        <f t="shared" si="16"/>
        <v>4.3600417968749999E-2</v>
      </c>
      <c r="S29">
        <f t="shared" si="17"/>
        <v>0</v>
      </c>
      <c r="T29">
        <f t="shared" si="1"/>
        <v>0.33365018750000003</v>
      </c>
      <c r="U29" s="5">
        <f t="shared" si="7"/>
        <v>-0.33365018750000003</v>
      </c>
      <c r="V29" s="2">
        <f t="shared" si="2"/>
        <v>-3.8670942485332484E-3</v>
      </c>
      <c r="W29" s="5">
        <v>0</v>
      </c>
    </row>
    <row r="30" spans="1:23" s="8" customFormat="1" x14ac:dyDescent="0.2">
      <c r="A30" s="16" t="s">
        <v>43</v>
      </c>
      <c r="B30" s="8" t="s">
        <v>31</v>
      </c>
      <c r="C30" s="8" t="s">
        <v>31</v>
      </c>
      <c r="D30" s="8" t="s">
        <v>31</v>
      </c>
      <c r="E30" s="8" t="s">
        <v>31</v>
      </c>
      <c r="F30" s="8">
        <v>16</v>
      </c>
      <c r="G30" s="8">
        <v>16</v>
      </c>
      <c r="H30" s="9">
        <f>52.62991</f>
        <v>52.629910000000002</v>
      </c>
      <c r="I30" s="9">
        <f>-131.03818</f>
        <v>-131.03818000000001</v>
      </c>
      <c r="J30" s="9">
        <f t="shared" si="8"/>
        <v>52.629910000000002</v>
      </c>
      <c r="K30" s="9">
        <f t="shared" si="9"/>
        <v>-131.03818000000001</v>
      </c>
      <c r="L30" s="9">
        <f>69.22566</f>
        <v>69.225660000000005</v>
      </c>
      <c r="M30" s="9">
        <v>0</v>
      </c>
      <c r="N30" s="15">
        <f>-19.26604/1000</f>
        <v>-1.9266040000000002E-2</v>
      </c>
      <c r="O30" s="8">
        <v>0</v>
      </c>
      <c r="P30" s="8">
        <f t="shared" ref="P30" si="18">H30/($B$9*$F30^2)</f>
        <v>2.0558558593750002E-2</v>
      </c>
      <c r="Q30" s="8">
        <f t="shared" ref="Q30" si="19">I30/($B$9*$F30^2)</f>
        <v>-5.1186789062500002E-2</v>
      </c>
      <c r="R30" s="8">
        <f t="shared" ref="R30" si="20">J30/($B$9*$G30^2)</f>
        <v>2.0558558593750002E-2</v>
      </c>
      <c r="S30" s="8">
        <f t="shared" ref="S30" si="21">K30/($B$9*$G30^2)</f>
        <v>-5.1186789062500002E-2</v>
      </c>
      <c r="T30" s="8">
        <f t="shared" si="1"/>
        <v>0.43266037500000004</v>
      </c>
      <c r="U30" s="5">
        <f t="shared" si="7"/>
        <v>-0.43266037500000004</v>
      </c>
      <c r="V30" s="12">
        <f t="shared" si="2"/>
        <v>-1.2287296533584596E-3</v>
      </c>
      <c r="W30" s="5">
        <v>0</v>
      </c>
    </row>
    <row r="31" spans="1:23" x14ac:dyDescent="0.2">
      <c r="A31" s="16" t="s">
        <v>37</v>
      </c>
      <c r="B31" t="s">
        <v>44</v>
      </c>
      <c r="C31" t="s">
        <v>44</v>
      </c>
      <c r="D31" t="s">
        <v>44</v>
      </c>
      <c r="E31" t="s">
        <v>44</v>
      </c>
      <c r="F31" s="5">
        <v>3</v>
      </c>
      <c r="G31" s="5">
        <v>3</v>
      </c>
      <c r="H31" s="6">
        <f>4.09917</f>
        <v>4.09917</v>
      </c>
      <c r="I31" s="6">
        <f>-14.52495</f>
        <v>-14.52495</v>
      </c>
      <c r="J31" s="6">
        <f>H31</f>
        <v>4.09917</v>
      </c>
      <c r="K31" s="6">
        <f>I31</f>
        <v>-14.52495</v>
      </c>
      <c r="L31" s="6">
        <v>14.708399999999999</v>
      </c>
      <c r="M31" s="6">
        <v>0</v>
      </c>
      <c r="N31" s="13">
        <f>-0.06561/1000</f>
        <v>-6.5610000000000004E-5</v>
      </c>
      <c r="O31" s="5">
        <v>0</v>
      </c>
      <c r="P31" s="5">
        <f>H31/($B$9*$F31^2)</f>
        <v>4.5546333333333335E-2</v>
      </c>
      <c r="Q31" s="5">
        <f>I31/($B$9*$F31^2)</f>
        <v>-0.16138833333333333</v>
      </c>
      <c r="R31" s="5">
        <f>J31/($B$9*$G31^2)</f>
        <v>4.5546333333333335E-2</v>
      </c>
      <c r="S31" s="5">
        <f>K31/($B$9*$G31^2)</f>
        <v>-0.16138833333333333</v>
      </c>
      <c r="T31" s="5">
        <f t="shared" si="1"/>
        <v>0.49027999999999999</v>
      </c>
      <c r="U31" s="5">
        <f t="shared" si="7"/>
        <v>-0.49027999999999999</v>
      </c>
      <c r="V31" s="7">
        <f t="shared" si="2"/>
        <v>-3.3855468750000001E-3</v>
      </c>
      <c r="W31" s="5">
        <v>0</v>
      </c>
    </row>
    <row r="32" spans="1:23" s="8" customFormat="1" x14ac:dyDescent="0.2">
      <c r="A32" s="16" t="s">
        <v>37</v>
      </c>
      <c r="B32" s="8" t="s">
        <v>45</v>
      </c>
      <c r="C32" s="8" t="s">
        <v>45</v>
      </c>
      <c r="D32" s="8" t="s">
        <v>45</v>
      </c>
      <c r="E32" s="8" t="s">
        <v>45</v>
      </c>
      <c r="F32" s="8">
        <v>3</v>
      </c>
      <c r="G32" s="8">
        <v>3</v>
      </c>
      <c r="H32">
        <v>1.9299599999999999</v>
      </c>
      <c r="I32">
        <v>-6.2440600000000002</v>
      </c>
      <c r="J32" s="9">
        <f>H32</f>
        <v>1.9299599999999999</v>
      </c>
      <c r="K32" s="9">
        <f>I32</f>
        <v>-6.2440600000000002</v>
      </c>
      <c r="L32" s="9">
        <v>7.1229399999999998</v>
      </c>
      <c r="M32" s="9">
        <v>0</v>
      </c>
      <c r="N32" s="15">
        <f>-0.03075/1000</f>
        <v>-3.0750000000000002E-5</v>
      </c>
      <c r="O32" s="8">
        <v>0</v>
      </c>
      <c r="P32" s="8">
        <f>H32/($B$9*$F32^2)</f>
        <v>2.1443999999999998E-2</v>
      </c>
      <c r="Q32" s="8">
        <f>I32/($B$9*$F32^2)</f>
        <v>-6.9378444444444451E-2</v>
      </c>
      <c r="R32" s="8">
        <f>J32/($B$9*$G32^2)</f>
        <v>2.1443999999999998E-2</v>
      </c>
      <c r="S32" s="8">
        <f>K32/($B$9*$G32^2)</f>
        <v>-6.9378444444444451E-2</v>
      </c>
      <c r="T32" s="8">
        <f t="shared" si="1"/>
        <v>0.23743133333333333</v>
      </c>
      <c r="U32" s="5">
        <f t="shared" si="7"/>
        <v>-0.23743133333333333</v>
      </c>
      <c r="V32" s="12">
        <f t="shared" si="2"/>
        <v>-1.5867332175925925E-3</v>
      </c>
      <c r="W32" s="5">
        <v>0</v>
      </c>
    </row>
    <row r="33" spans="1:23" x14ac:dyDescent="0.2">
      <c r="A33" s="16" t="s">
        <v>38</v>
      </c>
      <c r="B33" t="s">
        <v>44</v>
      </c>
      <c r="C33" t="s">
        <v>44</v>
      </c>
      <c r="D33" t="s">
        <v>44</v>
      </c>
      <c r="E33" t="s">
        <v>44</v>
      </c>
      <c r="F33">
        <v>5</v>
      </c>
      <c r="G33">
        <v>5</v>
      </c>
      <c r="H33" s="4">
        <v>10.970219999999999</v>
      </c>
      <c r="I33" s="4">
        <v>-53.621299999999998</v>
      </c>
      <c r="J33" s="4">
        <f t="shared" ref="J33:J36" si="22">H33</f>
        <v>10.970219999999999</v>
      </c>
      <c r="K33" s="4">
        <f t="shared" ref="K33:K36" si="23">I33</f>
        <v>-53.621299999999998</v>
      </c>
      <c r="L33" s="4">
        <v>45.977809999999998</v>
      </c>
      <c r="M33" s="4">
        <v>0</v>
      </c>
      <c r="N33" s="14">
        <f>-0.48804/1000</f>
        <v>-4.8803999999999997E-4</v>
      </c>
      <c r="O33">
        <v>0</v>
      </c>
      <c r="P33">
        <f t="shared" ref="P33:P36" si="24">H33/($B$9*$F33^2)</f>
        <v>4.3880879999999997E-2</v>
      </c>
      <c r="Q33">
        <f t="shared" ref="Q33:Q36" si="25">I33/($B$9*$F33^2)</f>
        <v>-0.21448519999999999</v>
      </c>
      <c r="R33">
        <f t="shared" ref="R33:R36" si="26">J33/($B$9*$G33^2)</f>
        <v>4.3880879999999997E-2</v>
      </c>
      <c r="S33">
        <f t="shared" ref="S33:S36" si="27">K33/($B$9*$G33^2)</f>
        <v>-0.21448519999999999</v>
      </c>
      <c r="T33">
        <f t="shared" ref="T33:T36" si="28">L33/($B$9*F33)</f>
        <v>0.91955619999999993</v>
      </c>
      <c r="U33" s="5">
        <f t="shared" si="7"/>
        <v>-0.91955619999999993</v>
      </c>
      <c r="V33" s="2">
        <f t="shared" ref="V33:V36" si="29">N33*$B$11*$B$12/($B$9*F33^4)</f>
        <v>-3.2637674999999996E-3</v>
      </c>
      <c r="W33" s="5">
        <v>0</v>
      </c>
    </row>
    <row r="34" spans="1:23" s="8" customFormat="1" x14ac:dyDescent="0.2">
      <c r="A34" s="16" t="s">
        <v>38</v>
      </c>
      <c r="B34" s="8" t="s">
        <v>45</v>
      </c>
      <c r="C34" s="8" t="s">
        <v>45</v>
      </c>
      <c r="D34" s="8" t="s">
        <v>45</v>
      </c>
      <c r="E34" s="8" t="s">
        <v>45</v>
      </c>
      <c r="F34" s="8">
        <v>5</v>
      </c>
      <c r="G34" s="8">
        <v>5</v>
      </c>
      <c r="H34">
        <v>3.2338</v>
      </c>
      <c r="I34">
        <v>-14.969749999999999</v>
      </c>
      <c r="J34" s="9">
        <f t="shared" si="22"/>
        <v>3.2338</v>
      </c>
      <c r="K34" s="9">
        <f t="shared" si="23"/>
        <v>-14.969749999999999</v>
      </c>
      <c r="L34" s="9">
        <v>14.26093</v>
      </c>
      <c r="M34" s="9">
        <v>0</v>
      </c>
      <c r="N34" s="15">
        <f>-0.14303/1000</f>
        <v>-1.4302999999999999E-4</v>
      </c>
      <c r="O34" s="8">
        <v>0</v>
      </c>
      <c r="P34" s="8">
        <f t="shared" si="24"/>
        <v>1.2935200000000001E-2</v>
      </c>
      <c r="Q34" s="8">
        <f t="shared" si="25"/>
        <v>-5.9878999999999995E-2</v>
      </c>
      <c r="R34" s="8">
        <f t="shared" si="26"/>
        <v>1.2935200000000001E-2</v>
      </c>
      <c r="S34" s="8">
        <f t="shared" si="27"/>
        <v>-5.9878999999999995E-2</v>
      </c>
      <c r="T34" s="8">
        <f t="shared" si="28"/>
        <v>0.28521859999999999</v>
      </c>
      <c r="U34" s="5">
        <f t="shared" si="7"/>
        <v>-0.28521859999999999</v>
      </c>
      <c r="V34" s="12">
        <f t="shared" si="29"/>
        <v>-9.5651312499999992E-4</v>
      </c>
      <c r="W34" s="5">
        <v>0</v>
      </c>
    </row>
    <row r="35" spans="1:23" x14ac:dyDescent="0.2">
      <c r="A35" s="16" t="s">
        <v>47</v>
      </c>
      <c r="B35" t="s">
        <v>44</v>
      </c>
      <c r="C35" t="s">
        <v>44</v>
      </c>
      <c r="D35" t="s">
        <v>44</v>
      </c>
      <c r="E35" t="s">
        <v>44</v>
      </c>
      <c r="F35">
        <v>6</v>
      </c>
      <c r="G35">
        <v>6</v>
      </c>
      <c r="H35" s="4">
        <v>13.88936</v>
      </c>
      <c r="I35" s="4">
        <v>-86.403530000000003</v>
      </c>
      <c r="J35" s="4">
        <f t="shared" si="22"/>
        <v>13.88936</v>
      </c>
      <c r="K35" s="4">
        <f t="shared" si="23"/>
        <v>-86.403530000000003</v>
      </c>
      <c r="L35" s="4">
        <f>68.57034</f>
        <v>68.570340000000002</v>
      </c>
      <c r="M35" s="4">
        <v>0</v>
      </c>
      <c r="N35" s="14">
        <f>-0.89649/1000</f>
        <v>-8.9649E-4</v>
      </c>
      <c r="O35">
        <v>0</v>
      </c>
      <c r="P35">
        <f t="shared" si="24"/>
        <v>3.8581555555555556E-2</v>
      </c>
      <c r="Q35">
        <f t="shared" si="25"/>
        <v>-0.24000980555555557</v>
      </c>
      <c r="R35">
        <f t="shared" si="26"/>
        <v>3.8581555555555556E-2</v>
      </c>
      <c r="S35">
        <f t="shared" si="27"/>
        <v>-0.24000980555555557</v>
      </c>
      <c r="T35">
        <f t="shared" si="28"/>
        <v>1.1428389999999999</v>
      </c>
      <c r="U35" s="5">
        <f t="shared" si="7"/>
        <v>-1.1428389999999999</v>
      </c>
      <c r="V35" s="2">
        <f t="shared" si="29"/>
        <v>-2.8912407769097221E-3</v>
      </c>
      <c r="W35" s="5">
        <v>0</v>
      </c>
    </row>
    <row r="36" spans="1:23" s="8" customFormat="1" x14ac:dyDescent="0.2">
      <c r="A36" s="16" t="s">
        <v>47</v>
      </c>
      <c r="B36" s="8" t="s">
        <v>45</v>
      </c>
      <c r="C36" s="8" t="s">
        <v>45</v>
      </c>
      <c r="D36" s="8" t="s">
        <v>45</v>
      </c>
      <c r="E36" s="8" t="s">
        <v>45</v>
      </c>
      <c r="F36" s="8">
        <v>6</v>
      </c>
      <c r="G36" s="8">
        <v>6</v>
      </c>
      <c r="H36">
        <v>3.5954999999999999</v>
      </c>
      <c r="I36">
        <v>-20.322769999999998</v>
      </c>
      <c r="J36" s="9">
        <f t="shared" si="22"/>
        <v>3.5954999999999999</v>
      </c>
      <c r="K36" s="9">
        <f t="shared" si="23"/>
        <v>-20.322769999999998</v>
      </c>
      <c r="L36" s="9">
        <v>17.955770000000001</v>
      </c>
      <c r="M36" s="9">
        <v>0</v>
      </c>
      <c r="N36" s="15">
        <f>-0.22793/1000</f>
        <v>-2.2792999999999999E-4</v>
      </c>
      <c r="O36" s="8">
        <v>0</v>
      </c>
      <c r="P36" s="8">
        <f t="shared" si="24"/>
        <v>9.9874999999999999E-3</v>
      </c>
      <c r="Q36" s="8">
        <f t="shared" si="25"/>
        <v>-5.6452138888888885E-2</v>
      </c>
      <c r="R36" s="8">
        <f t="shared" si="26"/>
        <v>9.9874999999999999E-3</v>
      </c>
      <c r="S36" s="8">
        <f t="shared" si="27"/>
        <v>-5.6452138888888885E-2</v>
      </c>
      <c r="T36" s="8">
        <f t="shared" si="28"/>
        <v>0.29926283333333337</v>
      </c>
      <c r="U36" s="5">
        <f t="shared" si="7"/>
        <v>-0.29926283333333337</v>
      </c>
      <c r="V36" s="12">
        <f t="shared" si="29"/>
        <v>-7.3508963879243818E-4</v>
      </c>
      <c r="W36" s="5">
        <v>0</v>
      </c>
    </row>
    <row r="37" spans="1:23" x14ac:dyDescent="0.2">
      <c r="A37" s="16" t="s">
        <v>48</v>
      </c>
      <c r="B37" t="s">
        <v>44</v>
      </c>
      <c r="C37" t="s">
        <v>44</v>
      </c>
      <c r="D37" t="s">
        <v>44</v>
      </c>
      <c r="E37" t="s">
        <v>44</v>
      </c>
      <c r="F37">
        <v>7</v>
      </c>
      <c r="G37">
        <v>7</v>
      </c>
      <c r="H37" s="4">
        <v>20.149260000000002</v>
      </c>
      <c r="I37" s="4">
        <v>-125.62357</v>
      </c>
      <c r="J37" s="4">
        <f t="shared" ref="J37:J38" si="30">H37</f>
        <v>20.149260000000002</v>
      </c>
      <c r="K37" s="4">
        <f t="shared" ref="K37:K38" si="31">I37</f>
        <v>-125.62357</v>
      </c>
      <c r="L37" s="4">
        <v>94.192830000000001</v>
      </c>
      <c r="M37" s="4">
        <v>0</v>
      </c>
      <c r="N37" s="14">
        <f>-1.71344/1000</f>
        <v>-1.7134400000000001E-3</v>
      </c>
      <c r="O37">
        <v>0</v>
      </c>
      <c r="P37">
        <f t="shared" ref="P37:P38" si="32">H37/($B$9*$F37^2)</f>
        <v>4.1120938775510207E-2</v>
      </c>
      <c r="Q37">
        <f t="shared" ref="Q37:Q38" si="33">I37/($B$9*$F37^2)</f>
        <v>-0.25637463265306121</v>
      </c>
      <c r="R37">
        <f t="shared" ref="R37:R38" si="34">J37/($B$9*$G37^2)</f>
        <v>4.1120938775510207E-2</v>
      </c>
      <c r="S37">
        <f t="shared" ref="S37:S38" si="35">K37/($B$9*$G37^2)</f>
        <v>-0.25637463265306121</v>
      </c>
      <c r="T37">
        <f t="shared" ref="T37:T38" si="36">L37/($B$9*F37)</f>
        <v>1.3456118571428572</v>
      </c>
      <c r="U37" s="5">
        <f t="shared" si="7"/>
        <v>-1.3456118571428572</v>
      </c>
      <c r="V37" s="2">
        <f t="shared" ref="V37:V38" si="37">N37*$B$11*$B$12/($B$9*F37^4)</f>
        <v>-2.9827754060807996E-3</v>
      </c>
      <c r="W37" s="5">
        <v>0</v>
      </c>
    </row>
    <row r="38" spans="1:23" s="8" customFormat="1" x14ac:dyDescent="0.2">
      <c r="A38" s="16" t="s">
        <v>48</v>
      </c>
      <c r="B38" s="8" t="s">
        <v>45</v>
      </c>
      <c r="C38" s="8" t="s">
        <v>45</v>
      </c>
      <c r="D38" s="8" t="s">
        <v>45</v>
      </c>
      <c r="E38" s="8" t="s">
        <v>45</v>
      </c>
      <c r="F38" s="8">
        <v>7</v>
      </c>
      <c r="G38" s="8">
        <v>7</v>
      </c>
      <c r="H38">
        <v>4.3825500000000002</v>
      </c>
      <c r="I38" s="9">
        <v>25.754049999999999</v>
      </c>
      <c r="J38" s="9">
        <f t="shared" si="30"/>
        <v>4.3825500000000002</v>
      </c>
      <c r="K38" s="9">
        <f t="shared" si="31"/>
        <v>25.754049999999999</v>
      </c>
      <c r="L38" s="9">
        <v>21.497769999999999</v>
      </c>
      <c r="M38" s="9">
        <v>0</v>
      </c>
      <c r="N38" s="15">
        <f>-0.37313/1000</f>
        <v>-3.7313E-4</v>
      </c>
      <c r="O38" s="8">
        <v>0</v>
      </c>
      <c r="P38" s="8">
        <f t="shared" si="32"/>
        <v>8.9439795918367353E-3</v>
      </c>
      <c r="Q38" s="8">
        <f t="shared" si="33"/>
        <v>5.2559285714285711E-2</v>
      </c>
      <c r="R38" s="8">
        <f t="shared" si="34"/>
        <v>8.9439795918367353E-3</v>
      </c>
      <c r="S38" s="8">
        <f t="shared" si="35"/>
        <v>5.2559285714285711E-2</v>
      </c>
      <c r="T38" s="8">
        <f t="shared" si="36"/>
        <v>0.30711099999999997</v>
      </c>
      <c r="U38" s="5">
        <f t="shared" si="7"/>
        <v>-0.30711099999999997</v>
      </c>
      <c r="V38" s="12">
        <f t="shared" si="37"/>
        <v>-6.495488533423574E-4</v>
      </c>
      <c r="W38" s="5">
        <v>0</v>
      </c>
    </row>
    <row r="39" spans="1:23" x14ac:dyDescent="0.2">
      <c r="A39" s="16" t="s">
        <v>39</v>
      </c>
      <c r="B39" t="s">
        <v>44</v>
      </c>
      <c r="C39" t="s">
        <v>44</v>
      </c>
      <c r="D39" t="s">
        <v>44</v>
      </c>
      <c r="E39" t="s">
        <v>44</v>
      </c>
      <c r="F39">
        <v>8</v>
      </c>
      <c r="G39">
        <v>8</v>
      </c>
      <c r="H39" s="4">
        <v>25.17062</v>
      </c>
      <c r="I39" s="4">
        <v>-173.23183</v>
      </c>
      <c r="J39" s="4">
        <f t="shared" ref="J39:J40" si="38">H39</f>
        <v>25.17062</v>
      </c>
      <c r="K39" s="4">
        <f t="shared" ref="K39:K40" si="39">I39</f>
        <v>-173.23183</v>
      </c>
      <c r="L39" s="4">
        <v>123.68127</v>
      </c>
      <c r="M39" s="4">
        <v>0</v>
      </c>
      <c r="N39" s="14">
        <f>-2.83175/1000</f>
        <v>-2.8317500000000001E-3</v>
      </c>
      <c r="O39">
        <v>0</v>
      </c>
      <c r="P39">
        <f t="shared" ref="P39:P40" si="40">H39/($B$9*$F39^2)</f>
        <v>3.9329093750000002E-2</v>
      </c>
      <c r="Q39">
        <f t="shared" ref="Q39:Q40" si="41">I39/($B$9*$F39^2)</f>
        <v>-0.270674734375</v>
      </c>
      <c r="R39">
        <f t="shared" ref="R39:R40" si="42">J39/($B$9*$G39^2)</f>
        <v>3.9329093750000002E-2</v>
      </c>
      <c r="S39">
        <f t="shared" ref="S39:S40" si="43">K39/($B$9*$G39^2)</f>
        <v>-0.270674734375</v>
      </c>
      <c r="T39">
        <f t="shared" ref="T39:T40" si="44">L39/($B$9*F39)</f>
        <v>1.5460158749999999</v>
      </c>
      <c r="U39" s="5">
        <f t="shared" si="7"/>
        <v>-1.5460158749999999</v>
      </c>
      <c r="V39" s="2">
        <f t="shared" ref="V39:V40" si="45">N39*$B$11*$B$12/($B$9*F39^4)</f>
        <v>-2.8896069526672362E-3</v>
      </c>
      <c r="W39" s="5">
        <v>0</v>
      </c>
    </row>
    <row r="40" spans="1:23" s="8" customFormat="1" x14ac:dyDescent="0.2">
      <c r="A40" s="16" t="s">
        <v>39</v>
      </c>
      <c r="B40" s="8" t="s">
        <v>45</v>
      </c>
      <c r="C40" s="8" t="s">
        <v>45</v>
      </c>
      <c r="D40" s="8" t="s">
        <v>45</v>
      </c>
      <c r="E40" s="8" t="s">
        <v>45</v>
      </c>
      <c r="F40" s="8">
        <v>8</v>
      </c>
      <c r="G40" s="8">
        <v>8</v>
      </c>
      <c r="H40">
        <v>4.8823299999999996</v>
      </c>
      <c r="I40">
        <v>-31.480550000000001</v>
      </c>
      <c r="J40" s="9">
        <f t="shared" si="38"/>
        <v>4.8823299999999996</v>
      </c>
      <c r="K40" s="9">
        <f t="shared" si="39"/>
        <v>-31.480550000000001</v>
      </c>
      <c r="L40" s="9">
        <v>25.03229</v>
      </c>
      <c r="M40" s="9">
        <v>0</v>
      </c>
      <c r="N40" s="15">
        <f>-0.54333/1000</f>
        <v>-5.4332999999999996E-4</v>
      </c>
      <c r="O40" s="8">
        <v>0</v>
      </c>
      <c r="P40" s="8">
        <f t="shared" si="40"/>
        <v>7.6286406249999996E-3</v>
      </c>
      <c r="Q40" s="8">
        <f t="shared" si="41"/>
        <v>-4.9188359375000004E-2</v>
      </c>
      <c r="R40" s="8">
        <f t="shared" si="42"/>
        <v>7.6286406249999996E-3</v>
      </c>
      <c r="S40" s="8">
        <f t="shared" si="43"/>
        <v>-4.9188359375000004E-2</v>
      </c>
      <c r="T40" s="8">
        <f t="shared" si="44"/>
        <v>0.31290362500000002</v>
      </c>
      <c r="U40" s="5">
        <f t="shared" si="7"/>
        <v>-0.31290362500000002</v>
      </c>
      <c r="V40" s="12">
        <f t="shared" si="45"/>
        <v>-5.5443105697631828E-4</v>
      </c>
      <c r="W40" s="5">
        <v>0</v>
      </c>
    </row>
    <row r="41" spans="1:23" x14ac:dyDescent="0.2">
      <c r="A41" s="16" t="s">
        <v>51</v>
      </c>
      <c r="B41" t="s">
        <v>44</v>
      </c>
      <c r="C41" t="s">
        <v>44</v>
      </c>
      <c r="D41" t="s">
        <v>44</v>
      </c>
      <c r="E41" t="s">
        <v>44</v>
      </c>
      <c r="F41">
        <v>10</v>
      </c>
      <c r="G41">
        <v>10</v>
      </c>
      <c r="H41" s="4">
        <v>40.706060000000001</v>
      </c>
      <c r="I41" s="4">
        <v>-298.88297999999998</v>
      </c>
      <c r="J41" s="4">
        <f t="shared" ref="J41:J42" si="46">H41</f>
        <v>40.706060000000001</v>
      </c>
      <c r="K41" s="4">
        <f t="shared" ref="K41:K42" si="47">I41</f>
        <v>-298.88297999999998</v>
      </c>
      <c r="L41" s="4">
        <v>205.34639999999999</v>
      </c>
      <c r="M41" s="4">
        <v>0</v>
      </c>
      <c r="N41" s="14">
        <f>-7.00196/1000</f>
        <v>-7.0019600000000006E-3</v>
      </c>
      <c r="O41">
        <v>0</v>
      </c>
      <c r="P41">
        <f t="shared" ref="P41:P42" si="48">H41/($B$9*$F41^2)</f>
        <v>4.0706060000000002E-2</v>
      </c>
      <c r="Q41">
        <f t="shared" ref="Q41:Q42" si="49">I41/($B$9*$F41^2)</f>
        <v>-0.29888297999999996</v>
      </c>
      <c r="R41">
        <f t="shared" ref="R41:R42" si="50">J41/($B$9*$G41^2)</f>
        <v>4.0706060000000002E-2</v>
      </c>
      <c r="S41">
        <f t="shared" ref="S41:S42" si="51">K41/($B$9*$G41^2)</f>
        <v>-0.29888297999999996</v>
      </c>
      <c r="T41">
        <f t="shared" ref="T41:T42" si="52">L41/($B$9*F41)</f>
        <v>2.053464</v>
      </c>
      <c r="U41" s="5">
        <f t="shared" si="7"/>
        <v>-2.053464</v>
      </c>
      <c r="V41" s="2">
        <f t="shared" ref="V41:V42" si="53">N41*$B$11*$B$12/($B$9*F41^4)</f>
        <v>-2.9266004687500003E-3</v>
      </c>
      <c r="W41" s="5">
        <v>0</v>
      </c>
    </row>
    <row r="42" spans="1:23" s="8" customFormat="1" x14ac:dyDescent="0.2">
      <c r="A42" s="16" t="s">
        <v>51</v>
      </c>
      <c r="B42" s="8" t="s">
        <v>45</v>
      </c>
      <c r="C42" s="8" t="s">
        <v>45</v>
      </c>
      <c r="D42" s="8" t="s">
        <v>45</v>
      </c>
      <c r="E42" s="8" t="s">
        <v>45</v>
      </c>
      <c r="F42" s="8">
        <v>10</v>
      </c>
      <c r="G42" s="8">
        <v>10</v>
      </c>
      <c r="H42">
        <v>6.2520300000000004</v>
      </c>
      <c r="I42">
        <v>-44.430689999999998</v>
      </c>
      <c r="J42" s="9">
        <f t="shared" si="46"/>
        <v>6.2520300000000004</v>
      </c>
      <c r="K42" s="9">
        <f t="shared" si="47"/>
        <v>-44.430689999999998</v>
      </c>
      <c r="L42" s="9">
        <v>34.070349999999998</v>
      </c>
      <c r="M42" s="9">
        <v>0</v>
      </c>
      <c r="N42" s="15">
        <f>-1.07561/1000</f>
        <v>-1.0756099999999998E-3</v>
      </c>
      <c r="O42" s="8">
        <v>0</v>
      </c>
      <c r="P42" s="8">
        <f t="shared" si="48"/>
        <v>6.2520300000000004E-3</v>
      </c>
      <c r="Q42" s="8">
        <f t="shared" si="49"/>
        <v>-4.4430690000000002E-2</v>
      </c>
      <c r="R42" s="8">
        <f t="shared" si="50"/>
        <v>6.2520300000000004E-3</v>
      </c>
      <c r="S42" s="8">
        <f t="shared" si="51"/>
        <v>-4.4430690000000002E-2</v>
      </c>
      <c r="T42" s="8">
        <f t="shared" si="52"/>
        <v>0.34070349999999999</v>
      </c>
      <c r="U42" s="5">
        <f t="shared" si="7"/>
        <v>-0.34070349999999999</v>
      </c>
      <c r="V42" s="12">
        <f t="shared" si="53"/>
        <v>-4.4957136718749992E-4</v>
      </c>
      <c r="W42" s="5">
        <v>0</v>
      </c>
    </row>
    <row r="43" spans="1:23" x14ac:dyDescent="0.2">
      <c r="A43" s="16" t="s">
        <v>52</v>
      </c>
      <c r="B43" t="s">
        <v>44</v>
      </c>
      <c r="C43" t="s">
        <v>44</v>
      </c>
      <c r="D43" t="s">
        <v>44</v>
      </c>
      <c r="E43" t="s">
        <v>44</v>
      </c>
      <c r="F43">
        <v>12</v>
      </c>
      <c r="G43">
        <v>12</v>
      </c>
      <c r="H43" s="4">
        <v>58.473469999999999</v>
      </c>
      <c r="I43" s="4">
        <v>-458.25200000000001</v>
      </c>
      <c r="J43" s="4">
        <f t="shared" ref="J43:J44" si="54">H43</f>
        <v>58.473469999999999</v>
      </c>
      <c r="K43" s="4">
        <f t="shared" ref="K43:K44" si="55">I43</f>
        <v>-458.25200000000001</v>
      </c>
      <c r="L43" s="4">
        <v>293.73307</v>
      </c>
      <c r="M43" s="4">
        <v>0</v>
      </c>
      <c r="N43" s="14">
        <f>-14.39523/1000</f>
        <v>-1.439523E-2</v>
      </c>
      <c r="O43">
        <v>0</v>
      </c>
      <c r="P43">
        <f t="shared" ref="P43:P44" si="56">H43/($B$9*$F43^2)</f>
        <v>4.0606576388888885E-2</v>
      </c>
      <c r="Q43">
        <f t="shared" ref="Q43:Q44" si="57">I43/($B$9*$F43^2)</f>
        <v>-0.31823055555555557</v>
      </c>
      <c r="R43">
        <f t="shared" ref="R43:R44" si="58">J43/($B$9*$G43^2)</f>
        <v>4.0606576388888885E-2</v>
      </c>
      <c r="S43">
        <f t="shared" ref="S43:S44" si="59">K43/($B$9*$G43^2)</f>
        <v>-0.31823055555555557</v>
      </c>
      <c r="T43">
        <f t="shared" ref="T43:T44" si="60">L43/($B$9*F43)</f>
        <v>2.4477755833333332</v>
      </c>
      <c r="U43" s="5">
        <f t="shared" si="7"/>
        <v>-2.4477755833333332</v>
      </c>
      <c r="V43" s="2">
        <f t="shared" ref="V43:V44" si="61">N43*$B$11*$B$12/($B$9*F43^4)</f>
        <v>-2.9015992906358508E-3</v>
      </c>
      <c r="W43" s="5">
        <v>0</v>
      </c>
    </row>
    <row r="44" spans="1:23" s="8" customFormat="1" x14ac:dyDescent="0.2">
      <c r="A44" s="16" t="s">
        <v>52</v>
      </c>
      <c r="B44" s="8" t="s">
        <v>45</v>
      </c>
      <c r="C44" s="8" t="s">
        <v>45</v>
      </c>
      <c r="D44" s="8" t="s">
        <v>45</v>
      </c>
      <c r="E44" s="8" t="s">
        <v>45</v>
      </c>
      <c r="F44" s="8">
        <v>12</v>
      </c>
      <c r="G44" s="8">
        <v>12</v>
      </c>
      <c r="H44">
        <v>7.5131300000000003</v>
      </c>
      <c r="I44">
        <v>-57.493029999999997</v>
      </c>
      <c r="J44" s="9">
        <f t="shared" si="54"/>
        <v>7.5131300000000003</v>
      </c>
      <c r="K44" s="9">
        <f t="shared" si="55"/>
        <v>-57.493029999999997</v>
      </c>
      <c r="L44" s="9">
        <v>41.160080000000001</v>
      </c>
      <c r="M44" s="9">
        <v>0</v>
      </c>
      <c r="N44" s="15">
        <f>-1.84692/1000</f>
        <v>-1.8469199999999999E-3</v>
      </c>
      <c r="O44" s="8">
        <v>0</v>
      </c>
      <c r="P44" s="8">
        <f t="shared" si="56"/>
        <v>5.2174513888888895E-3</v>
      </c>
      <c r="Q44" s="8">
        <f t="shared" si="57"/>
        <v>-3.9925715277777774E-2</v>
      </c>
      <c r="R44" s="8">
        <f t="shared" si="58"/>
        <v>5.2174513888888895E-3</v>
      </c>
      <c r="S44" s="8">
        <f t="shared" si="59"/>
        <v>-3.9925715277777774E-2</v>
      </c>
      <c r="T44" s="8">
        <f t="shared" si="60"/>
        <v>0.34300066666666668</v>
      </c>
      <c r="U44" s="5">
        <f t="shared" si="7"/>
        <v>-0.34300066666666668</v>
      </c>
      <c r="V44" s="12">
        <f t="shared" si="61"/>
        <v>-3.7227760597511569E-4</v>
      </c>
      <c r="W44" s="5">
        <v>0</v>
      </c>
    </row>
    <row r="45" spans="1:23" x14ac:dyDescent="0.2">
      <c r="A45" s="16" t="s">
        <v>53</v>
      </c>
      <c r="B45" t="s">
        <v>44</v>
      </c>
      <c r="C45" t="s">
        <v>44</v>
      </c>
      <c r="D45" t="s">
        <v>44</v>
      </c>
      <c r="E45" t="s">
        <v>44</v>
      </c>
      <c r="F45">
        <v>16</v>
      </c>
      <c r="G45">
        <v>16</v>
      </c>
      <c r="H45" s="4">
        <v>103.60933</v>
      </c>
      <c r="I45" s="4">
        <v>-893.66085999999996</v>
      </c>
      <c r="J45" s="4">
        <f t="shared" ref="J45:J46" si="62">H45</f>
        <v>103.60933</v>
      </c>
      <c r="K45" s="4">
        <f t="shared" ref="K45:K46" si="63">I45</f>
        <v>-893.66085999999996</v>
      </c>
      <c r="L45" s="4">
        <v>516.77905999999996</v>
      </c>
      <c r="M45" s="4">
        <v>0</v>
      </c>
      <c r="N45" s="14">
        <f>-44.98133/1000</f>
        <v>-4.498133E-2</v>
      </c>
      <c r="O45">
        <v>0</v>
      </c>
      <c r="P45">
        <f t="shared" ref="P45:P46" si="64">H45/($B$9*$F45^2)</f>
        <v>4.0472394531249997E-2</v>
      </c>
      <c r="Q45">
        <f t="shared" ref="Q45:Q46" si="65">I45/($B$9*$F45^2)</f>
        <v>-0.34908627343749998</v>
      </c>
      <c r="R45">
        <f t="shared" ref="R45:R46" si="66">J45/($B$9*$G45^2)</f>
        <v>4.0472394531249997E-2</v>
      </c>
      <c r="S45">
        <f t="shared" ref="S45:S46" si="67">K45/($B$9*$G45^2)</f>
        <v>-0.34908627343749998</v>
      </c>
      <c r="T45">
        <f t="shared" ref="T45:T46" si="68">L45/($B$9*F45)</f>
        <v>3.2298691249999996</v>
      </c>
      <c r="U45" s="5">
        <f t="shared" si="7"/>
        <v>-3.2298691249999996</v>
      </c>
      <c r="V45" s="2">
        <f t="shared" ref="V45:V46" si="69">N45*$B$11*$B$12/($B$9*F45^4)</f>
        <v>-2.868772929906845E-3</v>
      </c>
      <c r="W45" s="5">
        <v>0</v>
      </c>
    </row>
    <row r="46" spans="1:23" s="8" customFormat="1" x14ac:dyDescent="0.2">
      <c r="A46" s="18" t="s">
        <v>53</v>
      </c>
      <c r="B46" s="8" t="s">
        <v>45</v>
      </c>
      <c r="C46" s="8" t="s">
        <v>45</v>
      </c>
      <c r="D46" s="8" t="s">
        <v>45</v>
      </c>
      <c r="E46" s="8" t="s">
        <v>45</v>
      </c>
      <c r="F46" s="8">
        <v>16</v>
      </c>
      <c r="G46" s="8">
        <v>16</v>
      </c>
      <c r="H46">
        <v>10.032870000000001</v>
      </c>
      <c r="I46">
        <v>-85.564340000000001</v>
      </c>
      <c r="J46" s="9">
        <f t="shared" si="62"/>
        <v>10.032870000000001</v>
      </c>
      <c r="K46" s="9">
        <f t="shared" si="63"/>
        <v>-85.564340000000001</v>
      </c>
      <c r="L46" s="9">
        <v>55.293259999999997</v>
      </c>
      <c r="M46" s="9">
        <v>0</v>
      </c>
      <c r="N46" s="15">
        <f>-4.33847/1000</f>
        <v>-4.3384699999999997E-3</v>
      </c>
      <c r="O46" s="8">
        <v>0</v>
      </c>
      <c r="P46" s="8">
        <f t="shared" si="64"/>
        <v>3.9190898437500002E-3</v>
      </c>
      <c r="Q46" s="8">
        <f t="shared" si="65"/>
        <v>-3.3423570312499998E-2</v>
      </c>
      <c r="R46" s="8">
        <f t="shared" si="66"/>
        <v>3.9190898437500002E-3</v>
      </c>
      <c r="S46" s="8">
        <f t="shared" si="67"/>
        <v>-3.3423570312499998E-2</v>
      </c>
      <c r="T46" s="8">
        <f t="shared" si="68"/>
        <v>0.34558287499999996</v>
      </c>
      <c r="U46" s="5">
        <f t="shared" si="7"/>
        <v>-0.34558287499999996</v>
      </c>
      <c r="V46" s="12">
        <f t="shared" si="69"/>
        <v>-2.7669447064399715E-4</v>
      </c>
      <c r="W46" s="5">
        <v>0</v>
      </c>
    </row>
    <row r="47" spans="1:23" x14ac:dyDescent="0.2">
      <c r="H47" s="4"/>
      <c r="I47" s="4"/>
      <c r="J47" s="4"/>
      <c r="K47" s="4"/>
      <c r="L47" s="4"/>
      <c r="M47" s="4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Bieg  Jonathan</cp:lastModifiedBy>
  <cp:revision/>
  <dcterms:created xsi:type="dcterms:W3CDTF">2025-08-18T06:03:59Z</dcterms:created>
  <dcterms:modified xsi:type="dcterms:W3CDTF">2026-05-14T13:00:25Z</dcterms:modified>
  <cp:category/>
  <cp:contentStatus/>
</cp:coreProperties>
</file>